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er" sheetId="1" r:id="rId1"/>
    <sheet name="Operationnel" sheetId="2" r:id="rId2"/>
    <sheet name="Social" sheetId="3" r:id="rId3"/>
    <sheet name="Fintech" sheetId="4" r:id="rId4"/>
    <sheet name="Discipline" sheetId="5" r:id="rId5"/>
    <sheet name="KPI Hebdo" sheetId="6" r:id="rId6"/>
    <sheet name="Bénéficiaires" sheetId="7" r:id="rId7"/>
  </sheets>
  <calcPr calcId="124519" fullCalcOnLoad="1"/>
</workbook>
</file>

<file path=xl/sharedStrings.xml><?xml version="1.0" encoding="utf-8"?>
<sst xmlns="http://schemas.openxmlformats.org/spreadsheetml/2006/main" count="60" uniqueCount="48">
  <si>
    <t>date</t>
  </si>
  <si>
    <t>montant_total_attendu</t>
  </si>
  <si>
    <t>montant_total_rembourse</t>
  </si>
  <si>
    <t>montant_total_finance</t>
  </si>
  <si>
    <t>montant_en_defaut</t>
  </si>
  <si>
    <t>paiements_temps</t>
  </si>
  <si>
    <t>paiements_attendus</t>
  </si>
  <si>
    <t>total_collecte</t>
  </si>
  <si>
    <t>nombre_beneficiaires</t>
  </si>
  <si>
    <t>montant_recupere</t>
  </si>
  <si>
    <t>montant_total_prete</t>
  </si>
  <si>
    <t>cout_total_projet</t>
  </si>
  <si>
    <t>beneficiaires_finances</t>
  </si>
  <si>
    <t>montant_recupere_apres_defaut</t>
  </si>
  <si>
    <t>motos_actives</t>
  </si>
  <si>
    <t>total_motos</t>
  </si>
  <si>
    <t>jours_actifs</t>
  </si>
  <si>
    <t>jours_totaux</t>
  </si>
  <si>
    <t>courses</t>
  </si>
  <si>
    <t>jours_sans_activite</t>
  </si>
  <si>
    <t>motos_panne</t>
  </si>
  <si>
    <t>revenus_estimes</t>
  </si>
  <si>
    <t>beneficiaires_actifs</t>
  </si>
  <si>
    <t>beneficiaires_initial</t>
  </si>
  <si>
    <t>emplois_directs</t>
  </si>
  <si>
    <t>emplois_indirects</t>
  </si>
  <si>
    <t>revenus_avant</t>
  </si>
  <si>
    <t>revenus_apres</t>
  </si>
  <si>
    <t>paiements_digitaux</t>
  </si>
  <si>
    <t>paiements_totaux</t>
  </si>
  <si>
    <t>volume_transactions</t>
  </si>
  <si>
    <t>commissions</t>
  </si>
  <si>
    <t>utilisateurs_actifs</t>
  </si>
  <si>
    <t>transactions</t>
  </si>
  <si>
    <t>Nom</t>
  </si>
  <si>
    <t>Téléphone</t>
  </si>
  <si>
    <t>Moto</t>
  </si>
  <si>
    <t>Zone/Quartier</t>
  </si>
  <si>
    <t>Date_Integration</t>
  </si>
  <si>
    <t>Performance (%)</t>
  </si>
  <si>
    <t>Montant moyen / bénéf (FCFA)</t>
  </si>
  <si>
    <t>Taux motos actives (%)</t>
  </si>
  <si>
    <t>Taux de pannes (%)</t>
  </si>
  <si>
    <t>Taux maintien (%)</t>
  </si>
  <si>
    <t>Amélioration revenus (%)</t>
  </si>
  <si>
    <t>Emplois créés</t>
  </si>
  <si>
    <t>Taux digitalisation (%)</t>
  </si>
  <si>
    <t>Score discipline (%)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</si>
</sst>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165" fontId="0" fillId="3" borderId="1" xfId="0" applyNumberFormat="1" applyFill="1" applyBorder="1"/>
    <xf numFmtId="16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39</v>
      </c>
      <c r="P1" s="1" t="s">
        <v>40</v>
      </c>
    </row>
    <row r="2" spans="1:16">
      <c r="A2" s="2"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3">
        <f>IF(B2=0, 0, H2/B2)</f>
        <v>0</v>
      </c>
      <c r="P2" s="4">
        <f>IF(I2=0, 0, H2/I2)</f>
        <v>0</v>
      </c>
    </row>
    <row r="3" spans="1:16">
      <c r="A3" s="2">
        <v>45384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3">
        <f>IF(B3=0, 0, H3/B3)</f>
        <v>0</v>
      </c>
      <c r="P3" s="4">
        <f>IF(I3=0, 0, H3/I3)</f>
        <v>0</v>
      </c>
    </row>
    <row r="4" spans="1:16">
      <c r="A4" s="2">
        <v>45385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3">
        <f>IF(B4=0, 0, H4/B4)</f>
        <v>0</v>
      </c>
      <c r="P4" s="4">
        <f>IF(I4=0, 0, H4/I4)</f>
        <v>0</v>
      </c>
    </row>
    <row r="5" spans="1:16">
      <c r="A5" s="2">
        <v>45386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3">
        <f>IF(B5=0, 0, H5/B5)</f>
        <v>0</v>
      </c>
      <c r="P5" s="4">
        <f>IF(I5=0, 0, H5/I5)</f>
        <v>0</v>
      </c>
    </row>
    <row r="6" spans="1:16">
      <c r="A6" s="2">
        <v>45387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3">
        <f>IF(B6=0, 0, H6/B6)</f>
        <v>0</v>
      </c>
      <c r="P6" s="4">
        <f>IF(I6=0, 0, H6/I6)</f>
        <v>0</v>
      </c>
    </row>
    <row r="7" spans="1:16">
      <c r="A7" s="2">
        <v>45388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3">
        <f>IF(B7=0, 0, H7/B7)</f>
        <v>0</v>
      </c>
      <c r="P7" s="4">
        <f>IF(I7=0, 0, H7/I7)</f>
        <v>0</v>
      </c>
    </row>
    <row r="8" spans="1:16">
      <c r="A8" s="2">
        <v>45389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3">
        <f>IF(B8=0, 0, H8/B8)</f>
        <v>0</v>
      </c>
      <c r="P8" s="4">
        <f>IF(I8=0, 0, H8/I8)</f>
        <v>0</v>
      </c>
    </row>
    <row r="9" spans="1:16">
      <c r="A9" s="2">
        <v>45390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3">
        <f>IF(B9=0, 0, H9/B9)</f>
        <v>0</v>
      </c>
      <c r="P9" s="4">
        <f>IF(I9=0, 0, H9/I9)</f>
        <v>0</v>
      </c>
    </row>
    <row r="10" spans="1:16">
      <c r="A10" s="2">
        <v>45391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3">
        <f>IF(B10=0, 0, H10/B10)</f>
        <v>0</v>
      </c>
      <c r="P10" s="4">
        <f>IF(I10=0, 0, H10/I10)</f>
        <v>0</v>
      </c>
    </row>
    <row r="11" spans="1:16">
      <c r="A11" s="2">
        <v>45392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3">
        <f>IF(B11=0, 0, H11/B11)</f>
        <v>0</v>
      </c>
      <c r="P11" s="4">
        <f>IF(I11=0, 0, H11/I11)</f>
        <v>0</v>
      </c>
    </row>
    <row r="12" spans="1:16">
      <c r="A12" s="2">
        <v>45393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3">
        <f>IF(B12=0, 0, H12/B12)</f>
        <v>0</v>
      </c>
      <c r="P12" s="4">
        <f>IF(I12=0, 0, H12/I12)</f>
        <v>0</v>
      </c>
    </row>
    <row r="13" spans="1:16">
      <c r="A13" s="2">
        <v>45394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3">
        <f>IF(B13=0, 0, H13/B13)</f>
        <v>0</v>
      </c>
      <c r="P13" s="4">
        <f>IF(I13=0, 0, H13/I13)</f>
        <v>0</v>
      </c>
    </row>
    <row r="14" spans="1:16">
      <c r="A14" s="2">
        <v>45395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3">
        <f>IF(B14=0, 0, H14/B14)</f>
        <v>0</v>
      </c>
      <c r="P14" s="4">
        <f>IF(I14=0, 0, H14/I14)</f>
        <v>0</v>
      </c>
    </row>
    <row r="15" spans="1:16">
      <c r="A15" s="2">
        <v>45396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3">
        <f>IF(B15=0, 0, H15/B15)</f>
        <v>0</v>
      </c>
      <c r="P15" s="4">
        <f>IF(I15=0, 0, H15/I15)</f>
        <v>0</v>
      </c>
    </row>
    <row r="16" spans="1:16">
      <c r="A16" s="2">
        <v>45397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3">
        <f>IF(B16=0, 0, H16/B16)</f>
        <v>0</v>
      </c>
      <c r="P16" s="4">
        <f>IF(I16=0, 0, H16/I16)</f>
        <v>0</v>
      </c>
    </row>
    <row r="17" spans="1:16">
      <c r="A17" s="2">
        <v>45398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3">
        <f>IF(B17=0, 0, H17/B17)</f>
        <v>0</v>
      </c>
      <c r="P17" s="4">
        <f>IF(I17=0, 0, H17/I17)</f>
        <v>0</v>
      </c>
    </row>
    <row r="18" spans="1:16">
      <c r="A18" s="2">
        <v>45399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3">
        <f>IF(B18=0, 0, H18/B18)</f>
        <v>0</v>
      </c>
      <c r="P18" s="4">
        <f>IF(I18=0, 0, H18/I18)</f>
        <v>0</v>
      </c>
    </row>
    <row r="19" spans="1:16">
      <c r="A19" s="2">
        <v>45400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3">
        <f>IF(B19=0, 0, H19/B19)</f>
        <v>0</v>
      </c>
      <c r="P19" s="4">
        <f>IF(I19=0, 0, H19/I19)</f>
        <v>0</v>
      </c>
    </row>
    <row r="20" spans="1:16">
      <c r="A20" s="2">
        <v>45401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3">
        <f>IF(B20=0, 0, H20/B20)</f>
        <v>0</v>
      </c>
      <c r="P20" s="4">
        <f>IF(I20=0, 0, H20/I20)</f>
        <v>0</v>
      </c>
    </row>
    <row r="21" spans="1:16">
      <c r="A21" s="2">
        <v>45402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3">
        <f>IF(B21=0, 0, H21/B21)</f>
        <v>0</v>
      </c>
      <c r="P21" s="4">
        <f>IF(I21=0, 0, H21/I21)</f>
        <v>0</v>
      </c>
    </row>
    <row r="22" spans="1:16">
      <c r="A22" s="2">
        <v>45403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3">
        <f>IF(B22=0, 0, H22/B22)</f>
        <v>0</v>
      </c>
      <c r="P22" s="4">
        <f>IF(I22=0, 0, H22/I22)</f>
        <v>0</v>
      </c>
    </row>
    <row r="23" spans="1:16">
      <c r="A23" s="2">
        <v>45404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3">
        <f>IF(B23=0, 0, H23/B23)</f>
        <v>0</v>
      </c>
      <c r="P23" s="4">
        <f>IF(I23=0, 0, H23/I23)</f>
        <v>0</v>
      </c>
    </row>
    <row r="24" spans="1:16">
      <c r="A24" s="2">
        <v>45405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3">
        <f>IF(B24=0, 0, H24/B24)</f>
        <v>0</v>
      </c>
      <c r="P24" s="4">
        <f>IF(I24=0, 0, H24/I24)</f>
        <v>0</v>
      </c>
    </row>
    <row r="25" spans="1:16">
      <c r="A25" s="2">
        <v>45406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3">
        <f>IF(B25=0, 0, H25/B25)</f>
        <v>0</v>
      </c>
      <c r="P25" s="4">
        <f>IF(I25=0, 0, H25/I25)</f>
        <v>0</v>
      </c>
    </row>
    <row r="26" spans="1:16">
      <c r="A26" s="2">
        <v>45407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3">
        <f>IF(B26=0, 0, H26/B26)</f>
        <v>0</v>
      </c>
      <c r="P26" s="4">
        <f>IF(I26=0, 0, H26/I26)</f>
        <v>0</v>
      </c>
    </row>
    <row r="27" spans="1:16">
      <c r="A27" s="2">
        <v>45408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3">
        <f>IF(B27=0, 0, H27/B27)</f>
        <v>0</v>
      </c>
      <c r="P27" s="4">
        <f>IF(I27=0, 0, H27/I27)</f>
        <v>0</v>
      </c>
    </row>
    <row r="28" spans="1:16">
      <c r="A28" s="2">
        <v>45409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3">
        <f>IF(B28=0, 0, H28/B28)</f>
        <v>0</v>
      </c>
      <c r="P28" s="4">
        <f>IF(I28=0, 0, H28/I28)</f>
        <v>0</v>
      </c>
    </row>
    <row r="29" spans="1:16">
      <c r="A29" s="2">
        <v>45410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3">
        <f>IF(B29=0, 0, H29/B29)</f>
        <v>0</v>
      </c>
      <c r="P29" s="4">
        <f>IF(I29=0, 0, H29/I29)</f>
        <v>0</v>
      </c>
    </row>
    <row r="30" spans="1:16">
      <c r="A30" s="2">
        <v>45411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3">
        <f>IF(B30=0, 0, H30/B30)</f>
        <v>0</v>
      </c>
      <c r="P30" s="4">
        <f>IF(I30=0, 0, H30/I30)</f>
        <v>0</v>
      </c>
    </row>
    <row r="31" spans="1:16">
      <c r="A31" s="2">
        <v>45412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3">
        <f>IF(B31=0, 0, H31/B31)</f>
        <v>0</v>
      </c>
      <c r="P31" s="4">
        <f>IF(I31=0, 0, H31/I31)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s="1" t="s">
        <v>41</v>
      </c>
      <c r="J1" s="1" t="s">
        <v>42</v>
      </c>
    </row>
    <row r="2" spans="1:10">
      <c r="A2" s="2"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3">
        <f>IF(C2=0, 0, B2/C2)</f>
        <v>0</v>
      </c>
      <c r="J2" s="3">
        <f>IF(C2=0, 0, H2/C2)</f>
        <v>0</v>
      </c>
    </row>
    <row r="3" spans="1:10">
      <c r="A3" s="2">
        <v>45384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f>IF(C3=0, 0, B3/C3)</f>
        <v>0</v>
      </c>
      <c r="J3" s="3">
        <f>IF(C3=0, 0, H3/C3)</f>
        <v>0</v>
      </c>
    </row>
    <row r="4" spans="1:10">
      <c r="A4" s="2">
        <v>45385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3">
        <f>IF(C4=0, 0, B4/C4)</f>
        <v>0</v>
      </c>
      <c r="J4" s="3">
        <f>IF(C4=0, 0, H4/C4)</f>
        <v>0</v>
      </c>
    </row>
    <row r="5" spans="1:10">
      <c r="A5" s="2">
        <v>45386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3">
        <f>IF(C5=0, 0, B5/C5)</f>
        <v>0</v>
      </c>
      <c r="J5" s="3">
        <f>IF(C5=0, 0, H5/C5)</f>
        <v>0</v>
      </c>
    </row>
    <row r="6" spans="1:10">
      <c r="A6" s="2">
        <v>45387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3">
        <f>IF(C6=0, 0, B6/C6)</f>
        <v>0</v>
      </c>
      <c r="J6" s="3">
        <f>IF(C6=0, 0, H6/C6)</f>
        <v>0</v>
      </c>
    </row>
    <row r="7" spans="1:10">
      <c r="A7" s="2">
        <v>45388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3">
        <f>IF(C7=0, 0, B7/C7)</f>
        <v>0</v>
      </c>
      <c r="J7" s="3">
        <f>IF(C7=0, 0, H7/C7)</f>
        <v>0</v>
      </c>
    </row>
    <row r="8" spans="1:10">
      <c r="A8" s="2">
        <v>45389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3">
        <f>IF(C8=0, 0, B8/C8)</f>
        <v>0</v>
      </c>
      <c r="J8" s="3">
        <f>IF(C8=0, 0, H8/C8)</f>
        <v>0</v>
      </c>
    </row>
    <row r="9" spans="1:10">
      <c r="A9" s="2">
        <v>45390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f>IF(C9=0, 0, B9/C9)</f>
        <v>0</v>
      </c>
      <c r="J9" s="3">
        <f>IF(C9=0, 0, H9/C9)</f>
        <v>0</v>
      </c>
    </row>
    <row r="10" spans="1:10">
      <c r="A10" s="2">
        <v>45391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3">
        <f>IF(C10=0, 0, B10/C10)</f>
        <v>0</v>
      </c>
      <c r="J10" s="3">
        <f>IF(C10=0, 0, H10/C10)</f>
        <v>0</v>
      </c>
    </row>
    <row r="11" spans="1:10">
      <c r="A11" s="2">
        <v>45392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3">
        <f>IF(C11=0, 0, B11/C11)</f>
        <v>0</v>
      </c>
      <c r="J11" s="3">
        <f>IF(C11=0, 0, H11/C11)</f>
        <v>0</v>
      </c>
    </row>
    <row r="12" spans="1:10">
      <c r="A12" s="2">
        <v>45393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3">
        <f>IF(C12=0, 0, B12/C12)</f>
        <v>0</v>
      </c>
      <c r="J12" s="3">
        <f>IF(C12=0, 0, H12/C12)</f>
        <v>0</v>
      </c>
    </row>
    <row r="13" spans="1:10">
      <c r="A13" s="2">
        <v>45394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3">
        <f>IF(C13=0, 0, B13/C13)</f>
        <v>0</v>
      </c>
      <c r="J13" s="3">
        <f>IF(C13=0, 0, H13/C13)</f>
        <v>0</v>
      </c>
    </row>
    <row r="14" spans="1:10">
      <c r="A14" s="2">
        <v>45395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f>IF(C14=0, 0, B14/C14)</f>
        <v>0</v>
      </c>
      <c r="J14" s="3">
        <f>IF(C14=0, 0, H14/C14)</f>
        <v>0</v>
      </c>
    </row>
    <row r="15" spans="1:10">
      <c r="A15" s="2">
        <v>45396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3">
        <f>IF(C15=0, 0, B15/C15)</f>
        <v>0</v>
      </c>
      <c r="J15" s="3">
        <f>IF(C15=0, 0, H15/C15)</f>
        <v>0</v>
      </c>
    </row>
    <row r="16" spans="1:10">
      <c r="A16" s="2">
        <v>45397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3">
        <f>IF(C16=0, 0, B16/C16)</f>
        <v>0</v>
      </c>
      <c r="J16" s="3">
        <f>IF(C16=0, 0, H16/C16)</f>
        <v>0</v>
      </c>
    </row>
    <row r="17" spans="1:10">
      <c r="A17" s="2">
        <v>45398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3">
        <f>IF(C17=0, 0, B17/C17)</f>
        <v>0</v>
      </c>
      <c r="J17" s="3">
        <f>IF(C17=0, 0, H17/C17)</f>
        <v>0</v>
      </c>
    </row>
    <row r="18" spans="1:10">
      <c r="A18" s="2">
        <v>45399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3">
        <f>IF(C18=0, 0, B18/C18)</f>
        <v>0</v>
      </c>
      <c r="J18" s="3">
        <f>IF(C18=0, 0, H18/C18)</f>
        <v>0</v>
      </c>
    </row>
    <row r="19" spans="1:10">
      <c r="A19" s="2">
        <v>45400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3">
        <f>IF(C19=0, 0, B19/C19)</f>
        <v>0</v>
      </c>
      <c r="J19" s="3">
        <f>IF(C19=0, 0, H19/C19)</f>
        <v>0</v>
      </c>
    </row>
    <row r="20" spans="1:10">
      <c r="A20" s="2">
        <v>45401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3">
        <f>IF(C20=0, 0, B20/C20)</f>
        <v>0</v>
      </c>
      <c r="J20" s="3">
        <f>IF(C20=0, 0, H20/C20)</f>
        <v>0</v>
      </c>
    </row>
    <row r="21" spans="1:10">
      <c r="A21" s="2">
        <v>45402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3">
        <f>IF(C21=0, 0, B21/C21)</f>
        <v>0</v>
      </c>
      <c r="J21" s="3">
        <f>IF(C21=0, 0, H21/C21)</f>
        <v>0</v>
      </c>
    </row>
    <row r="22" spans="1:10">
      <c r="A22" s="2">
        <v>45403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3">
        <f>IF(C22=0, 0, B22/C22)</f>
        <v>0</v>
      </c>
      <c r="J22" s="3">
        <f>IF(C22=0, 0, H22/C22)</f>
        <v>0</v>
      </c>
    </row>
    <row r="23" spans="1:10">
      <c r="A23" s="2">
        <v>45404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>IF(C23=0, 0, B23/C23)</f>
        <v>0</v>
      </c>
      <c r="J23" s="3">
        <f>IF(C23=0, 0, H23/C23)</f>
        <v>0</v>
      </c>
    </row>
    <row r="24" spans="1:10">
      <c r="A24" s="2">
        <v>45405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>IF(C24=0, 0, B24/C24)</f>
        <v>0</v>
      </c>
      <c r="J24" s="3">
        <f>IF(C24=0, 0, H24/C24)</f>
        <v>0</v>
      </c>
    </row>
    <row r="25" spans="1:10">
      <c r="A25" s="2">
        <v>45406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>IF(C25=0, 0, B25/C25)</f>
        <v>0</v>
      </c>
      <c r="J25" s="3">
        <f>IF(C25=0, 0, H25/C25)</f>
        <v>0</v>
      </c>
    </row>
    <row r="26" spans="1:10">
      <c r="A26" s="2">
        <v>45407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>IF(C26=0, 0, B26/C26)</f>
        <v>0</v>
      </c>
      <c r="J26" s="3">
        <f>IF(C26=0, 0, H26/C26)</f>
        <v>0</v>
      </c>
    </row>
    <row r="27" spans="1:10">
      <c r="A27" s="2">
        <v>45408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3">
        <f>IF(C27=0, 0, B27/C27)</f>
        <v>0</v>
      </c>
      <c r="J27" s="3">
        <f>IF(C27=0, 0, H27/C27)</f>
        <v>0</v>
      </c>
    </row>
    <row r="28" spans="1:10">
      <c r="A28" s="2">
        <v>45409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3">
        <f>IF(C28=0, 0, B28/C28)</f>
        <v>0</v>
      </c>
      <c r="J28" s="3">
        <f>IF(C28=0, 0, H28/C28)</f>
        <v>0</v>
      </c>
    </row>
    <row r="29" spans="1:10">
      <c r="A29" s="2">
        <v>45410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3">
        <f>IF(C29=0, 0, B29/C29)</f>
        <v>0</v>
      </c>
      <c r="J29" s="3">
        <f>IF(C29=0, 0, H29/C29)</f>
        <v>0</v>
      </c>
    </row>
    <row r="30" spans="1:10">
      <c r="A30" s="2">
        <v>45411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3">
        <f>IF(C30=0, 0, B30/C30)</f>
        <v>0</v>
      </c>
      <c r="J30" s="3">
        <f>IF(C30=0, 0, H30/C30)</f>
        <v>0</v>
      </c>
    </row>
    <row r="31" spans="1:10">
      <c r="A31" s="2">
        <v>45412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3">
        <f>IF(C31=0, 0, B31/C31)</f>
        <v>0</v>
      </c>
      <c r="J31" s="3">
        <f>IF(C31=0, 0, H31/C31)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s="1" t="s">
        <v>43</v>
      </c>
      <c r="J1" s="1" t="s">
        <v>44</v>
      </c>
      <c r="K1" s="1" t="s">
        <v>45</v>
      </c>
    </row>
    <row r="2" spans="1:11">
      <c r="A2" s="2"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3">
        <f>IF(D2=0, 0, C2/D2)</f>
        <v>0</v>
      </c>
      <c r="J2" s="3">
        <f>IF(G2=0, 0, (H2-G2)/G2)</f>
        <v>0</v>
      </c>
      <c r="K2" s="4">
        <f>E2+F2</f>
        <v>0</v>
      </c>
    </row>
    <row r="3" spans="1:11">
      <c r="A3" s="2">
        <v>45384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f>IF(D3=0, 0, C3/D3)</f>
        <v>0</v>
      </c>
      <c r="J3" s="3">
        <f>IF(G3=0, 0, (H3-G3)/G3)</f>
        <v>0</v>
      </c>
      <c r="K3" s="4">
        <f>E3+F3</f>
        <v>0</v>
      </c>
    </row>
    <row r="4" spans="1:11">
      <c r="A4" s="2">
        <v>45385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3">
        <f>IF(D4=0, 0, C4/D4)</f>
        <v>0</v>
      </c>
      <c r="J4" s="3">
        <f>IF(G4=0, 0, (H4-G4)/G4)</f>
        <v>0</v>
      </c>
      <c r="K4" s="4">
        <f>E4+F4</f>
        <v>0</v>
      </c>
    </row>
    <row r="5" spans="1:11">
      <c r="A5" s="2">
        <v>45386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3">
        <f>IF(D5=0, 0, C5/D5)</f>
        <v>0</v>
      </c>
      <c r="J5" s="3">
        <f>IF(G5=0, 0, (H5-G5)/G5)</f>
        <v>0</v>
      </c>
      <c r="K5" s="4">
        <f>E5+F5</f>
        <v>0</v>
      </c>
    </row>
    <row r="6" spans="1:11">
      <c r="A6" s="2">
        <v>45387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3">
        <f>IF(D6=0, 0, C6/D6)</f>
        <v>0</v>
      </c>
      <c r="J6" s="3">
        <f>IF(G6=0, 0, (H6-G6)/G6)</f>
        <v>0</v>
      </c>
      <c r="K6" s="4">
        <f>E6+F6</f>
        <v>0</v>
      </c>
    </row>
    <row r="7" spans="1:11">
      <c r="A7" s="2">
        <v>45388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3">
        <f>IF(D7=0, 0, C7/D7)</f>
        <v>0</v>
      </c>
      <c r="J7" s="3">
        <f>IF(G7=0, 0, (H7-G7)/G7)</f>
        <v>0</v>
      </c>
      <c r="K7" s="4">
        <f>E7+F7</f>
        <v>0</v>
      </c>
    </row>
    <row r="8" spans="1:11">
      <c r="A8" s="2">
        <v>45389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3">
        <f>IF(D8=0, 0, C8/D8)</f>
        <v>0</v>
      </c>
      <c r="J8" s="3">
        <f>IF(G8=0, 0, (H8-G8)/G8)</f>
        <v>0</v>
      </c>
      <c r="K8" s="4">
        <f>E8+F8</f>
        <v>0</v>
      </c>
    </row>
    <row r="9" spans="1:11">
      <c r="A9" s="2">
        <v>45390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f>IF(D9=0, 0, C9/D9)</f>
        <v>0</v>
      </c>
      <c r="J9" s="3">
        <f>IF(G9=0, 0, (H9-G9)/G9)</f>
        <v>0</v>
      </c>
      <c r="K9" s="4">
        <f>E9+F9</f>
        <v>0</v>
      </c>
    </row>
    <row r="10" spans="1:11">
      <c r="A10" s="2">
        <v>45391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3">
        <f>IF(D10=0, 0, C10/D10)</f>
        <v>0</v>
      </c>
      <c r="J10" s="3">
        <f>IF(G10=0, 0, (H10-G10)/G10)</f>
        <v>0</v>
      </c>
      <c r="K10" s="4">
        <f>E10+F10</f>
        <v>0</v>
      </c>
    </row>
    <row r="11" spans="1:11">
      <c r="A11" s="2">
        <v>45392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3">
        <f>IF(D11=0, 0, C11/D11)</f>
        <v>0</v>
      </c>
      <c r="J11" s="3">
        <f>IF(G11=0, 0, (H11-G11)/G11)</f>
        <v>0</v>
      </c>
      <c r="K11" s="4">
        <f>E11+F11</f>
        <v>0</v>
      </c>
    </row>
    <row r="12" spans="1:11">
      <c r="A12" s="2">
        <v>45393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3">
        <f>IF(D12=0, 0, C12/D12)</f>
        <v>0</v>
      </c>
      <c r="J12" s="3">
        <f>IF(G12=0, 0, (H12-G12)/G12)</f>
        <v>0</v>
      </c>
      <c r="K12" s="4">
        <f>E12+F12</f>
        <v>0</v>
      </c>
    </row>
    <row r="13" spans="1:11">
      <c r="A13" s="2">
        <v>45394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3">
        <f>IF(D13=0, 0, C13/D13)</f>
        <v>0</v>
      </c>
      <c r="J13" s="3">
        <f>IF(G13=0, 0, (H13-G13)/G13)</f>
        <v>0</v>
      </c>
      <c r="K13" s="4">
        <f>E13+F13</f>
        <v>0</v>
      </c>
    </row>
    <row r="14" spans="1:11">
      <c r="A14" s="2">
        <v>45395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f>IF(D14=0, 0, C14/D14)</f>
        <v>0</v>
      </c>
      <c r="J14" s="3">
        <f>IF(G14=0, 0, (H14-G14)/G14)</f>
        <v>0</v>
      </c>
      <c r="K14" s="4">
        <f>E14+F14</f>
        <v>0</v>
      </c>
    </row>
    <row r="15" spans="1:11">
      <c r="A15" s="2">
        <v>45396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3">
        <f>IF(D15=0, 0, C15/D15)</f>
        <v>0</v>
      </c>
      <c r="J15" s="3">
        <f>IF(G15=0, 0, (H15-G15)/G15)</f>
        <v>0</v>
      </c>
      <c r="K15" s="4">
        <f>E15+F15</f>
        <v>0</v>
      </c>
    </row>
    <row r="16" spans="1:11">
      <c r="A16" s="2">
        <v>45397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3">
        <f>IF(D16=0, 0, C16/D16)</f>
        <v>0</v>
      </c>
      <c r="J16" s="3">
        <f>IF(G16=0, 0, (H16-G16)/G16)</f>
        <v>0</v>
      </c>
      <c r="K16" s="4">
        <f>E16+F16</f>
        <v>0</v>
      </c>
    </row>
    <row r="17" spans="1:11">
      <c r="A17" s="2">
        <v>45398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3">
        <f>IF(D17=0, 0, C17/D17)</f>
        <v>0</v>
      </c>
      <c r="J17" s="3">
        <f>IF(G17=0, 0, (H17-G17)/G17)</f>
        <v>0</v>
      </c>
      <c r="K17" s="4">
        <f>E17+F17</f>
        <v>0</v>
      </c>
    </row>
    <row r="18" spans="1:11">
      <c r="A18" s="2">
        <v>45399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3">
        <f>IF(D18=0, 0, C18/D18)</f>
        <v>0</v>
      </c>
      <c r="J18" s="3">
        <f>IF(G18=0, 0, (H18-G18)/G18)</f>
        <v>0</v>
      </c>
      <c r="K18" s="4">
        <f>E18+F18</f>
        <v>0</v>
      </c>
    </row>
    <row r="19" spans="1:11">
      <c r="A19" s="2">
        <v>45400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3">
        <f>IF(D19=0, 0, C19/D19)</f>
        <v>0</v>
      </c>
      <c r="J19" s="3">
        <f>IF(G19=0, 0, (H19-G19)/G19)</f>
        <v>0</v>
      </c>
      <c r="K19" s="4">
        <f>E19+F19</f>
        <v>0</v>
      </c>
    </row>
    <row r="20" spans="1:11">
      <c r="A20" s="2">
        <v>45401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3">
        <f>IF(D20=0, 0, C20/D20)</f>
        <v>0</v>
      </c>
      <c r="J20" s="3">
        <f>IF(G20=0, 0, (H20-G20)/G20)</f>
        <v>0</v>
      </c>
      <c r="K20" s="4">
        <f>E20+F20</f>
        <v>0</v>
      </c>
    </row>
    <row r="21" spans="1:11">
      <c r="A21" s="2">
        <v>45402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3">
        <f>IF(D21=0, 0, C21/D21)</f>
        <v>0</v>
      </c>
      <c r="J21" s="3">
        <f>IF(G21=0, 0, (H21-G21)/G21)</f>
        <v>0</v>
      </c>
      <c r="K21" s="4">
        <f>E21+F21</f>
        <v>0</v>
      </c>
    </row>
    <row r="22" spans="1:11">
      <c r="A22" s="2">
        <v>45403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3">
        <f>IF(D22=0, 0, C22/D22)</f>
        <v>0</v>
      </c>
      <c r="J22" s="3">
        <f>IF(G22=0, 0, (H22-G22)/G22)</f>
        <v>0</v>
      </c>
      <c r="K22" s="4">
        <f>E22+F22</f>
        <v>0</v>
      </c>
    </row>
    <row r="23" spans="1:11">
      <c r="A23" s="2">
        <v>45404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>IF(D23=0, 0, C23/D23)</f>
        <v>0</v>
      </c>
      <c r="J23" s="3">
        <f>IF(G23=0, 0, (H23-G23)/G23)</f>
        <v>0</v>
      </c>
      <c r="K23" s="4">
        <f>E23+F23</f>
        <v>0</v>
      </c>
    </row>
    <row r="24" spans="1:11">
      <c r="A24" s="2">
        <v>45405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>IF(D24=0, 0, C24/D24)</f>
        <v>0</v>
      </c>
      <c r="J24" s="3">
        <f>IF(G24=0, 0, (H24-G24)/G24)</f>
        <v>0</v>
      </c>
      <c r="K24" s="4">
        <f>E24+F24</f>
        <v>0</v>
      </c>
    </row>
    <row r="25" spans="1:11">
      <c r="A25" s="2">
        <v>45406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>IF(D25=0, 0, C25/D25)</f>
        <v>0</v>
      </c>
      <c r="J25" s="3">
        <f>IF(G25=0, 0, (H25-G25)/G25)</f>
        <v>0</v>
      </c>
      <c r="K25" s="4">
        <f>E25+F25</f>
        <v>0</v>
      </c>
    </row>
    <row r="26" spans="1:11">
      <c r="A26" s="2">
        <v>45407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>IF(D26=0, 0, C26/D26)</f>
        <v>0</v>
      </c>
      <c r="J26" s="3">
        <f>IF(G26=0, 0, (H26-G26)/G26)</f>
        <v>0</v>
      </c>
      <c r="K26" s="4">
        <f>E26+F26</f>
        <v>0</v>
      </c>
    </row>
    <row r="27" spans="1:11">
      <c r="A27" s="2">
        <v>45408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3">
        <f>IF(D27=0, 0, C27/D27)</f>
        <v>0</v>
      </c>
      <c r="J27" s="3">
        <f>IF(G27=0, 0, (H27-G27)/G27)</f>
        <v>0</v>
      </c>
      <c r="K27" s="4">
        <f>E27+F27</f>
        <v>0</v>
      </c>
    </row>
    <row r="28" spans="1:11">
      <c r="A28" s="2">
        <v>45409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3">
        <f>IF(D28=0, 0, C28/D28)</f>
        <v>0</v>
      </c>
      <c r="J28" s="3">
        <f>IF(G28=0, 0, (H28-G28)/G28)</f>
        <v>0</v>
      </c>
      <c r="K28" s="4">
        <f>E28+F28</f>
        <v>0</v>
      </c>
    </row>
    <row r="29" spans="1:11">
      <c r="A29" s="2">
        <v>45410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3">
        <f>IF(D29=0, 0, C29/D29)</f>
        <v>0</v>
      </c>
      <c r="J29" s="3">
        <f>IF(G29=0, 0, (H29-G29)/G29)</f>
        <v>0</v>
      </c>
      <c r="K29" s="4">
        <f>E29+F29</f>
        <v>0</v>
      </c>
    </row>
    <row r="30" spans="1:11">
      <c r="A30" s="2">
        <v>45411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3">
        <f>IF(D30=0, 0, C30/D30)</f>
        <v>0</v>
      </c>
      <c r="J30" s="3">
        <f>IF(G30=0, 0, (H30-G30)/G30)</f>
        <v>0</v>
      </c>
      <c r="K30" s="4">
        <f>E30+F30</f>
        <v>0</v>
      </c>
    </row>
    <row r="31" spans="1:11">
      <c r="A31" s="2">
        <v>45412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3">
        <f>IF(D31=0, 0, C31/D31)</f>
        <v>0</v>
      </c>
      <c r="J31" s="3">
        <f>IF(G31=0, 0, (H31-G31)/G31)</f>
        <v>0</v>
      </c>
      <c r="K31" s="4">
        <f>E31+F31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s="1" t="s">
        <v>46</v>
      </c>
    </row>
    <row r="2" spans="1:8">
      <c r="A2" s="2"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3">
        <f>IF(C2=0, 0, B2/C2)</f>
        <v>0</v>
      </c>
    </row>
    <row r="3" spans="1:8">
      <c r="A3" s="2">
        <v>45384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3">
        <f>IF(C3=0, 0, B3/C3)</f>
        <v>0</v>
      </c>
    </row>
    <row r="4" spans="1:8">
      <c r="A4" s="2">
        <v>45385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3">
        <f>IF(C4=0, 0, B4/C4)</f>
        <v>0</v>
      </c>
    </row>
    <row r="5" spans="1:8">
      <c r="A5" s="2">
        <v>45386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3">
        <f>IF(C5=0, 0, B5/C5)</f>
        <v>0</v>
      </c>
    </row>
    <row r="6" spans="1:8">
      <c r="A6" s="2">
        <v>45387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3">
        <f>IF(C6=0, 0, B6/C6)</f>
        <v>0</v>
      </c>
    </row>
    <row r="7" spans="1:8">
      <c r="A7" s="2">
        <v>45388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3">
        <f>IF(C7=0, 0, B7/C7)</f>
        <v>0</v>
      </c>
    </row>
    <row r="8" spans="1:8">
      <c r="A8" s="2">
        <v>45389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3">
        <f>IF(C8=0, 0, B8/C8)</f>
        <v>0</v>
      </c>
    </row>
    <row r="9" spans="1:8">
      <c r="A9" s="2">
        <v>45390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3">
        <f>IF(C9=0, 0, B9/C9)</f>
        <v>0</v>
      </c>
    </row>
    <row r="10" spans="1:8">
      <c r="A10" s="2">
        <v>45391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3">
        <f>IF(C10=0, 0, B10/C10)</f>
        <v>0</v>
      </c>
    </row>
    <row r="11" spans="1:8">
      <c r="A11" s="2">
        <v>45392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3">
        <f>IF(C11=0, 0, B11/C11)</f>
        <v>0</v>
      </c>
    </row>
    <row r="12" spans="1:8">
      <c r="A12" s="2">
        <v>45393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3">
        <f>IF(C12=0, 0, B12/C12)</f>
        <v>0</v>
      </c>
    </row>
    <row r="13" spans="1:8">
      <c r="A13" s="2">
        <v>45394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3">
        <f>IF(C13=0, 0, B13/C13)</f>
        <v>0</v>
      </c>
    </row>
    <row r="14" spans="1:8">
      <c r="A14" s="2">
        <v>45395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3">
        <f>IF(C14=0, 0, B14/C14)</f>
        <v>0</v>
      </c>
    </row>
    <row r="15" spans="1:8">
      <c r="A15" s="2">
        <v>45396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3">
        <f>IF(C15=0, 0, B15/C15)</f>
        <v>0</v>
      </c>
    </row>
    <row r="16" spans="1:8">
      <c r="A16" s="2">
        <v>45397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3">
        <f>IF(C16=0, 0, B16/C16)</f>
        <v>0</v>
      </c>
    </row>
    <row r="17" spans="1:8">
      <c r="A17" s="2">
        <v>45398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3">
        <f>IF(C17=0, 0, B17/C17)</f>
        <v>0</v>
      </c>
    </row>
    <row r="18" spans="1:8">
      <c r="A18" s="2">
        <v>45399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3">
        <f>IF(C18=0, 0, B18/C18)</f>
        <v>0</v>
      </c>
    </row>
    <row r="19" spans="1:8">
      <c r="A19" s="2">
        <v>45400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3">
        <f>IF(C19=0, 0, B19/C19)</f>
        <v>0</v>
      </c>
    </row>
    <row r="20" spans="1:8">
      <c r="A20" s="2">
        <v>45401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3">
        <f>IF(C20=0, 0, B20/C20)</f>
        <v>0</v>
      </c>
    </row>
    <row r="21" spans="1:8">
      <c r="A21" s="2">
        <v>45402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3">
        <f>IF(C21=0, 0, B21/C21)</f>
        <v>0</v>
      </c>
    </row>
    <row r="22" spans="1:8">
      <c r="A22" s="2">
        <v>45403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3">
        <f>IF(C22=0, 0, B22/C22)</f>
        <v>0</v>
      </c>
    </row>
    <row r="23" spans="1:8">
      <c r="A23" s="2">
        <v>45404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3">
        <f>IF(C23=0, 0, B23/C23)</f>
        <v>0</v>
      </c>
    </row>
    <row r="24" spans="1:8">
      <c r="A24" s="2">
        <v>45405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3">
        <f>IF(C24=0, 0, B24/C24)</f>
        <v>0</v>
      </c>
    </row>
    <row r="25" spans="1:8">
      <c r="A25" s="2">
        <v>45406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3">
        <f>IF(C25=0, 0, B25/C25)</f>
        <v>0</v>
      </c>
    </row>
    <row r="26" spans="1:8">
      <c r="A26" s="2">
        <v>45407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3">
        <f>IF(C26=0, 0, B26/C26)</f>
        <v>0</v>
      </c>
    </row>
    <row r="27" spans="1:8">
      <c r="A27" s="2">
        <v>45408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3">
        <f>IF(C27=0, 0, B27/C27)</f>
        <v>0</v>
      </c>
    </row>
    <row r="28" spans="1:8">
      <c r="A28" s="2">
        <v>45409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3">
        <f>IF(C28=0, 0, B28/C28)</f>
        <v>0</v>
      </c>
    </row>
    <row r="29" spans="1:8">
      <c r="A29" s="2">
        <v>45410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3">
        <f>IF(C29=0, 0, B29/C29)</f>
        <v>0</v>
      </c>
    </row>
    <row r="30" spans="1:8">
      <c r="A30" s="2">
        <v>45411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3">
        <f>IF(C30=0, 0, B30/C30)</f>
        <v>0</v>
      </c>
    </row>
    <row r="31" spans="1:8">
      <c r="A31" s="2">
        <v>45412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3">
        <f>IF(C31=0, 0, B31/C31)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5</v>
      </c>
      <c r="C1" t="s">
        <v>6</v>
      </c>
      <c r="D1" t="s">
        <v>16</v>
      </c>
      <c r="E1" t="s">
        <v>17</v>
      </c>
      <c r="F1" t="s">
        <v>20</v>
      </c>
      <c r="G1" t="s">
        <v>15</v>
      </c>
      <c r="H1" s="1" t="s">
        <v>47</v>
      </c>
    </row>
    <row r="2" spans="1:8">
      <c r="A2" s="2"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3">
        <f>IF(OR(C2=0,E2=0,G2=0),0,((B2/C2)*0.4+(D2/E2)*0.3+(1-F2/G2)*0.2)/0.9)</f>
        <v>0</v>
      </c>
    </row>
    <row r="3" spans="1:8">
      <c r="A3" s="2">
        <v>45384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3">
        <f>IF(OR(C3=0,E3=0,G3=0),0,((B3/C3)*0.4+(D3/E3)*0.3+(1-F3/G3)*0.2)/0.9)</f>
        <v>0</v>
      </c>
    </row>
    <row r="4" spans="1:8">
      <c r="A4" s="2">
        <v>45385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3">
        <f>IF(OR(C4=0,E4=0,G4=0),0,((B4/C4)*0.4+(D4/E4)*0.3+(1-F4/G4)*0.2)/0.9)</f>
        <v>0</v>
      </c>
    </row>
    <row r="5" spans="1:8">
      <c r="A5" s="2">
        <v>45386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3">
        <f>IF(OR(C5=0,E5=0,G5=0),0,((B5/C5)*0.4+(D5/E5)*0.3+(1-F5/G5)*0.2)/0.9)</f>
        <v>0</v>
      </c>
    </row>
    <row r="6" spans="1:8">
      <c r="A6" s="2">
        <v>45387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3">
        <f>IF(OR(C6=0,E6=0,G6=0),0,((B6/C6)*0.4+(D6/E6)*0.3+(1-F6/G6)*0.2)/0.9)</f>
        <v>0</v>
      </c>
    </row>
    <row r="7" spans="1:8">
      <c r="A7" s="2">
        <v>45388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3">
        <f>IF(OR(C7=0,E7=0,G7=0),0,((B7/C7)*0.4+(D7/E7)*0.3+(1-F7/G7)*0.2)/0.9)</f>
        <v>0</v>
      </c>
    </row>
    <row r="8" spans="1:8">
      <c r="A8" s="2">
        <v>45389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3">
        <f>IF(OR(C8=0,E8=0,G8=0),0,((B8/C8)*0.4+(D8/E8)*0.3+(1-F8/G8)*0.2)/0.9)</f>
        <v>0</v>
      </c>
    </row>
    <row r="9" spans="1:8">
      <c r="A9" s="2">
        <v>45390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3">
        <f>IF(OR(C9=0,E9=0,G9=0),0,((B9/C9)*0.4+(D9/E9)*0.3+(1-F9/G9)*0.2)/0.9)</f>
        <v>0</v>
      </c>
    </row>
    <row r="10" spans="1:8">
      <c r="A10" s="2">
        <v>45391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3">
        <f>IF(OR(C10=0,E10=0,G10=0),0,((B10/C10)*0.4+(D10/E10)*0.3+(1-F10/G10)*0.2)/0.9)</f>
        <v>0</v>
      </c>
    </row>
    <row r="11" spans="1:8">
      <c r="A11" s="2">
        <v>45392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3">
        <f>IF(OR(C11=0,E11=0,G11=0),0,((B11/C11)*0.4+(D11/E11)*0.3+(1-F11/G11)*0.2)/0.9)</f>
        <v>0</v>
      </c>
    </row>
    <row r="12" spans="1:8">
      <c r="A12" s="2">
        <v>45393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3">
        <f>IF(OR(C12=0,E12=0,G12=0),0,((B12/C12)*0.4+(D12/E12)*0.3+(1-F12/G12)*0.2)/0.9)</f>
        <v>0</v>
      </c>
    </row>
    <row r="13" spans="1:8">
      <c r="A13" s="2">
        <v>45394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3">
        <f>IF(OR(C13=0,E13=0,G13=0),0,((B13/C13)*0.4+(D13/E13)*0.3+(1-F13/G13)*0.2)/0.9)</f>
        <v>0</v>
      </c>
    </row>
    <row r="14" spans="1:8">
      <c r="A14" s="2">
        <v>45395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3">
        <f>IF(OR(C14=0,E14=0,G14=0),0,((B14/C14)*0.4+(D14/E14)*0.3+(1-F14/G14)*0.2)/0.9)</f>
        <v>0</v>
      </c>
    </row>
    <row r="15" spans="1:8">
      <c r="A15" s="2">
        <v>45396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3">
        <f>IF(OR(C15=0,E15=0,G15=0),0,((B15/C15)*0.4+(D15/E15)*0.3+(1-F15/G15)*0.2)/0.9)</f>
        <v>0</v>
      </c>
    </row>
    <row r="16" spans="1:8">
      <c r="A16" s="2">
        <v>45397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3">
        <f>IF(OR(C16=0,E16=0,G16=0),0,((B16/C16)*0.4+(D16/E16)*0.3+(1-F16/G16)*0.2)/0.9)</f>
        <v>0</v>
      </c>
    </row>
    <row r="17" spans="1:8">
      <c r="A17" s="2">
        <v>45398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3">
        <f>IF(OR(C17=0,E17=0,G17=0),0,((B17/C17)*0.4+(D17/E17)*0.3+(1-F17/G17)*0.2)/0.9)</f>
        <v>0</v>
      </c>
    </row>
    <row r="18" spans="1:8">
      <c r="A18" s="2">
        <v>45399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3">
        <f>IF(OR(C18=0,E18=0,G18=0),0,((B18/C18)*0.4+(D18/E18)*0.3+(1-F18/G18)*0.2)/0.9)</f>
        <v>0</v>
      </c>
    </row>
    <row r="19" spans="1:8">
      <c r="A19" s="2">
        <v>45400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3">
        <f>IF(OR(C19=0,E19=0,G19=0),0,((B19/C19)*0.4+(D19/E19)*0.3+(1-F19/G19)*0.2)/0.9)</f>
        <v>0</v>
      </c>
    </row>
    <row r="20" spans="1:8">
      <c r="A20" s="2">
        <v>45401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3">
        <f>IF(OR(C20=0,E20=0,G20=0),0,((B20/C20)*0.4+(D20/E20)*0.3+(1-F20/G20)*0.2)/0.9)</f>
        <v>0</v>
      </c>
    </row>
    <row r="21" spans="1:8">
      <c r="A21" s="2">
        <v>45402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3">
        <f>IF(OR(C21=0,E21=0,G21=0),0,((B21/C21)*0.4+(D21/E21)*0.3+(1-F21/G21)*0.2)/0.9)</f>
        <v>0</v>
      </c>
    </row>
    <row r="22" spans="1:8">
      <c r="A22" s="2">
        <v>45403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3">
        <f>IF(OR(C22=0,E22=0,G22=0),0,((B22/C22)*0.4+(D22/E22)*0.3+(1-F22/G22)*0.2)/0.9)</f>
        <v>0</v>
      </c>
    </row>
    <row r="23" spans="1:8">
      <c r="A23" s="2">
        <v>45404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3">
        <f>IF(OR(C23=0,E23=0,G23=0),0,((B23/C23)*0.4+(D23/E23)*0.3+(1-F23/G23)*0.2)/0.9)</f>
        <v>0</v>
      </c>
    </row>
    <row r="24" spans="1:8">
      <c r="A24" s="2">
        <v>45405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3">
        <f>IF(OR(C24=0,E24=0,G24=0),0,((B24/C24)*0.4+(D24/E24)*0.3+(1-F24/G24)*0.2)/0.9)</f>
        <v>0</v>
      </c>
    </row>
    <row r="25" spans="1:8">
      <c r="A25" s="2">
        <v>45406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3">
        <f>IF(OR(C25=0,E25=0,G25=0),0,((B25/C25)*0.4+(D25/E25)*0.3+(1-F25/G25)*0.2)/0.9)</f>
        <v>0</v>
      </c>
    </row>
    <row r="26" spans="1:8">
      <c r="A26" s="2">
        <v>45407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3">
        <f>IF(OR(C26=0,E26=0,G26=0),0,((B26/C26)*0.4+(D26/E26)*0.3+(1-F26/G26)*0.2)/0.9)</f>
        <v>0</v>
      </c>
    </row>
    <row r="27" spans="1:8">
      <c r="A27" s="2">
        <v>45408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3">
        <f>IF(OR(C27=0,E27=0,G27=0),0,((B27/C27)*0.4+(D27/E27)*0.3+(1-F27/G27)*0.2)/0.9)</f>
        <v>0</v>
      </c>
    </row>
    <row r="28" spans="1:8">
      <c r="A28" s="2">
        <v>45409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3">
        <f>IF(OR(C28=0,E28=0,G28=0),0,((B28/C28)*0.4+(D28/E28)*0.3+(1-F28/G28)*0.2)/0.9)</f>
        <v>0</v>
      </c>
    </row>
    <row r="29" spans="1:8">
      <c r="A29" s="2">
        <v>45410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3">
        <f>IF(OR(C29=0,E29=0,G29=0),0,((B29/C29)*0.4+(D29/E29)*0.3+(1-F29/G29)*0.2)/0.9)</f>
        <v>0</v>
      </c>
    </row>
    <row r="30" spans="1:8">
      <c r="A30" s="2">
        <v>45411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3">
        <f>IF(OR(C30=0,E30=0,G30=0),0,((B30/C30)*0.4+(D30/E30)*0.3+(1-F30/G30)*0.2)/0.9)</f>
        <v>0</v>
      </c>
    </row>
    <row r="31" spans="1:8">
      <c r="A31" s="2">
        <v>45412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3">
        <f>IF(OR(C31=0,E31=0,G31=0),0,((B31/C31)*0.4+(D31/E31)*0.3+(1-F31/G31)*0.2)/0.9)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t="s">
        <v>0</v>
      </c>
    </row>
    <row r="2" spans="1:1">
      <c r="A2" s="2">
        <v>45383</v>
      </c>
    </row>
    <row r="3" spans="1:1">
      <c r="A3" s="2">
        <v>45384</v>
      </c>
    </row>
    <row r="4" spans="1:1">
      <c r="A4" s="2">
        <v>45385</v>
      </c>
    </row>
    <row r="5" spans="1:1">
      <c r="A5" s="2">
        <v>45386</v>
      </c>
    </row>
    <row r="6" spans="1:1">
      <c r="A6" s="2">
        <v>45387</v>
      </c>
    </row>
    <row r="7" spans="1:1">
      <c r="A7" s="2">
        <v>45388</v>
      </c>
    </row>
    <row r="8" spans="1:1">
      <c r="A8" s="2">
        <v>45389</v>
      </c>
    </row>
    <row r="9" spans="1:1">
      <c r="A9" s="2">
        <v>45390</v>
      </c>
    </row>
    <row r="10" spans="1:1">
      <c r="A10" s="2">
        <v>45391</v>
      </c>
    </row>
    <row r="11" spans="1:1">
      <c r="A11" s="2">
        <v>45392</v>
      </c>
    </row>
    <row r="12" spans="1:1">
      <c r="A12" s="2">
        <v>45393</v>
      </c>
    </row>
    <row r="13" spans="1:1">
      <c r="A13" s="2">
        <v>45394</v>
      </c>
    </row>
    <row r="14" spans="1:1">
      <c r="A14" s="2">
        <v>45395</v>
      </c>
    </row>
    <row r="15" spans="1:1">
      <c r="A15" s="2">
        <v>45396</v>
      </c>
    </row>
    <row r="16" spans="1:1">
      <c r="A16" s="2">
        <v>45397</v>
      </c>
    </row>
    <row r="17" spans="1:1">
      <c r="A17" s="2">
        <v>45398</v>
      </c>
    </row>
    <row r="18" spans="1:1">
      <c r="A18" s="2">
        <v>45399</v>
      </c>
    </row>
    <row r="19" spans="1:1">
      <c r="A19" s="2">
        <v>45400</v>
      </c>
    </row>
    <row r="20" spans="1:1">
      <c r="A20" s="2">
        <v>45401</v>
      </c>
    </row>
    <row r="21" spans="1:1">
      <c r="A21" s="2">
        <v>45402</v>
      </c>
    </row>
    <row r="22" spans="1:1">
      <c r="A22" s="2">
        <v>45403</v>
      </c>
    </row>
    <row r="23" spans="1:1">
      <c r="A23" s="2">
        <v>45404</v>
      </c>
    </row>
    <row r="24" spans="1:1">
      <c r="A24" s="2">
        <v>45405</v>
      </c>
    </row>
    <row r="25" spans="1:1">
      <c r="A25" s="2">
        <v>45406</v>
      </c>
    </row>
    <row r="26" spans="1:1">
      <c r="A26" s="2">
        <v>45407</v>
      </c>
    </row>
    <row r="27" spans="1:1">
      <c r="A27" s="2">
        <v>45408</v>
      </c>
    </row>
    <row r="28" spans="1:1">
      <c r="A28" s="2">
        <v>45409</v>
      </c>
    </row>
    <row r="29" spans="1:1">
      <c r="A29" s="2">
        <v>45410</v>
      </c>
    </row>
    <row r="30" spans="1:1">
      <c r="A30" s="2">
        <v>45411</v>
      </c>
    </row>
    <row r="31" spans="1:1">
      <c r="A31" s="2">
        <v>45412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Financier</vt:lpstr>
      <vt:lpstr>Operationnel</vt:lpstr>
      <vt:lpstr>Social</vt:lpstr>
      <vt:lpstr>Fintech</vt:lpstr>
      <vt:lpstr>Discipline</vt:lpstr>
      <vt:lpstr>KPI Hebdo</vt:lpstr>
      <vt:lpstr>Bénéficiaires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2026-05-23T18:03:51Z</dcterms:created>
  <dcterms:modified xsi:type="dcterms:W3CDTF">2026-05-23T18:03:51Z</dcterms:modified>
</cp:coreProperties>
</file>