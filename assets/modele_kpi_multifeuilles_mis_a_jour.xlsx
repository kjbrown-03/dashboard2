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ier" sheetId="1" state="visible" r:id="rId1"/>
    <sheet name="Operationnel" sheetId="2" state="visible" r:id="rId2"/>
    <sheet name="Social" sheetId="3" state="visible" r:id="rId3"/>
    <sheet name="Fintech" sheetId="4" state="visible" r:id="rId4"/>
    <sheet name="Terrain" sheetId="5" state="visible" r:id="rId5"/>
    <sheet name="Risque" sheetId="6" state="visible" r:id="rId6"/>
    <sheet name="Discipline" sheetId="7" state="visible" r:id="rId7"/>
    <sheet name="Benefier_impliquer" sheetId="8" state="visible" r:id="rId8"/>
  </sheets>
  <definedNames>
    <definedName name="_xlnm._FilterDatabase" localSheetId="0" hidden="1">'Financier'!$A$1:$AA$200</definedName>
    <definedName name="_xlnm._FilterDatabase" localSheetId="1" hidden="1">'Operationnel'!$A$1:$P$200</definedName>
    <definedName name="_xlnm._FilterDatabase" localSheetId="2" hidden="1">'Social'!$A$1:$N$200</definedName>
    <definedName name="_xlnm._FilterDatabase" localSheetId="3" hidden="1">'Fintech'!$A$1:$N$200</definedName>
    <definedName name="_xlnm._FilterDatabase" localSheetId="4" hidden="1">'Terrain'!$A$1:$L$200</definedName>
    <definedName name="_xlnm._FilterDatabase" localSheetId="5" hidden="1">'Risque'!$A$1:$L$200</definedName>
    <definedName name="_xlnm._FilterDatabase" localSheetId="6" hidden="1">'Discipline'!$A$1:$G$200</definedName>
    <definedName name="_xlnm._FilterDatabase" localSheetId="7" hidden="1">'Benefier_impliquer'!$A$1:$H$50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"/>
    <numFmt numFmtId="166" formatCode="0.0%"/>
    <numFmt numFmtId="167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11827"/>
    </font>
  </fonts>
  <fills count="7">
    <fill>
      <patternFill/>
    </fill>
    <fill>
      <patternFill patternType="gray125"/>
    </fill>
    <fill>
      <patternFill patternType="solid">
        <fgColor rgb="0017663A"/>
      </patternFill>
    </fill>
    <fill>
      <patternFill patternType="solid">
        <fgColor rgb="009CA3AF"/>
      </patternFill>
    </fill>
    <fill>
      <patternFill patternType="solid">
        <fgColor rgb="00E5E7EB"/>
      </patternFill>
    </fill>
    <fill>
      <patternFill patternType="solid">
        <fgColor rgb="006B7280"/>
      </patternFill>
    </fill>
    <fill>
      <patternFill patternType="solid">
        <fgColor rgb="00D1D5DB"/>
      </patternFill>
    </fill>
  </fills>
  <borders count="3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center"/>
    </xf>
    <xf numFmtId="165" fontId="0" fillId="0" borderId="1" pivotButton="0" quotePrefix="0" xfId="0"/>
    <xf numFmtId="0" fontId="2" fillId="3" borderId="2" applyAlignment="1" pivotButton="0" quotePrefix="0" xfId="0">
      <alignment horizontal="center" vertical="center" wrapText="1"/>
    </xf>
    <xf numFmtId="0" fontId="1" fillId="5" borderId="2" applyAlignment="1" pivotButton="0" quotePrefix="0" xfId="0">
      <alignment horizontal="center" vertical="center" wrapText="1"/>
    </xf>
    <xf numFmtId="165" fontId="0" fillId="4" borderId="2" applyAlignment="1" applyProtection="1" pivotButton="0" quotePrefix="0" xfId="0">
      <alignment horizontal="left" vertical="center" wrapText="1"/>
      <protection locked="0" hidden="0"/>
    </xf>
    <xf numFmtId="0" fontId="0" fillId="4" borderId="2" applyAlignment="1" applyProtection="1" pivotButton="0" quotePrefix="0" xfId="0">
      <alignment horizontal="left" vertical="center" wrapText="1"/>
      <protection locked="0" hidden="0"/>
    </xf>
    <xf numFmtId="166" fontId="0" fillId="6" borderId="2" applyAlignment="1" pivotButton="0" quotePrefix="0" xfId="0">
      <alignment horizontal="left" vertical="center" wrapText="1"/>
    </xf>
    <xf numFmtId="1" fontId="0" fillId="6" borderId="2" applyAlignment="1" pivotButton="0" quotePrefix="0" xfId="0">
      <alignment horizontal="left" vertical="center" wrapText="1"/>
    </xf>
    <xf numFmtId="3" fontId="0" fillId="6" borderId="2" applyAlignment="1" pivotButton="0" quotePrefix="0" xfId="0">
      <alignment horizontal="left" vertical="center" wrapText="1"/>
    </xf>
    <xf numFmtId="167" fontId="0" fillId="6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Codex</author>
  </authors>
  <commentList>
    <comment ref="A1" authorId="0" shapeId="0">
      <text>
        <t>Zone grise claire: cellules a remplir. Zone grise foncee: calculs automatiques.</t>
      </text>
    </comment>
  </commentList>
</comments>
</file>

<file path=xl/comments/comment2.xml><?xml version="1.0" encoding="utf-8"?>
<comments xmlns="http://schemas.openxmlformats.org/spreadsheetml/2006/main">
  <authors>
    <author>Codex</author>
  </authors>
  <commentList>
    <comment ref="A1" authorId="0" shapeId="0">
      <text>
        <t>Zone grise claire: cellules a remplir. Zone grise foncee: calculs automatiques.</t>
      </text>
    </comment>
  </commentList>
</comments>
</file>

<file path=xl/comments/comment3.xml><?xml version="1.0" encoding="utf-8"?>
<comments xmlns="http://schemas.openxmlformats.org/spreadsheetml/2006/main">
  <authors>
    <author>Codex</author>
  </authors>
  <commentList>
    <comment ref="A1" authorId="0" shapeId="0">
      <text>
        <t>Zone grise claire: cellules a remplir. Zone grise foncee: calculs automatiques.</t>
      </text>
    </comment>
  </commentList>
</comments>
</file>

<file path=xl/comments/comment4.xml><?xml version="1.0" encoding="utf-8"?>
<comments xmlns="http://schemas.openxmlformats.org/spreadsheetml/2006/main">
  <authors>
    <author>Codex</author>
  </authors>
  <commentList>
    <comment ref="A1" authorId="0" shapeId="0">
      <text>
        <t>Zone grise claire: cellules a remplir. Zone grise foncee: calculs automatiques.</t>
      </text>
    </comment>
  </commentList>
</comments>
</file>

<file path=xl/comments/comment5.xml><?xml version="1.0" encoding="utf-8"?>
<comments xmlns="http://schemas.openxmlformats.org/spreadsheetml/2006/main">
  <authors>
    <author>Codex</author>
  </authors>
  <commentList>
    <comment ref="A1" authorId="0" shapeId="0">
      <text>
        <t>Zone grise claire: cellules a remplir. Zone grise foncee: calculs automatiques.</t>
      </text>
    </comment>
  </commentList>
</comments>
</file>

<file path=xl/comments/comment6.xml><?xml version="1.0" encoding="utf-8"?>
<comments xmlns="http://schemas.openxmlformats.org/spreadsheetml/2006/main">
  <authors>
    <author>Codex</author>
  </authors>
  <commentList>
    <comment ref="A1" authorId="0" shapeId="0">
      <text>
        <t>Zone grise claire: cellules a remplir. Zone grise foncee: calculs automatiques.</t>
      </text>
    </comment>
  </commentList>
</comments>
</file>

<file path=xl/comments/comment7.xml><?xml version="1.0" encoding="utf-8"?>
<comments xmlns="http://schemas.openxmlformats.org/spreadsheetml/2006/main">
  <authors>
    <author>Codex</author>
  </authors>
  <commentList>
    <comment ref="A1" authorId="0" shapeId="0">
      <text>
        <t>Zone grise claire: cellules a remplir. Zone grise foncee: calculs automatiques.</t>
      </text>
    </comment>
  </commentList>
</comments>
</file>

<file path=xl/comments/comment8.xml><?xml version="1.0" encoding="utf-8"?>
<comments xmlns="http://schemas.openxmlformats.org/spreadsheetml/2006/main">
  <authors>
    <author>Codex</author>
  </authors>
  <commentList>
    <comment ref="A1" authorId="0" shapeId="0">
      <text>
        <t>Zone grise: liste a remplir pour documenter les beneficiaires, motos ou incidents impliques.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D1D5DB"/>
    <outlinePr summaryBelow="1" summaryRight="1"/>
    <pageSetUpPr/>
  </sheetPr>
  <dimension ref="A1:AA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3" customWidth="1" min="2" max="2"/>
    <col width="25" customWidth="1" min="3" max="3"/>
    <col width="19" customWidth="1" min="4" max="4"/>
    <col width="23" customWidth="1" min="5" max="5"/>
    <col width="19" customWidth="1" min="6" max="6"/>
    <col width="19" customWidth="1" min="7" max="7"/>
    <col width="17" customWidth="1" min="8" max="8"/>
    <col width="20" customWidth="1" min="9" max="9"/>
    <col width="19" customWidth="1" min="10" max="10"/>
    <col width="19" customWidth="1" min="11" max="11"/>
    <col width="21" customWidth="1" min="12" max="12"/>
    <col width="19" customWidth="1" min="13" max="13"/>
    <col width="22" customWidth="1" min="14" max="14"/>
    <col width="19" customWidth="1" min="15" max="15"/>
    <col width="24" customWidth="1" min="16" max="16"/>
    <col width="32" customWidth="1" min="17" max="17"/>
    <col width="32" customWidth="1" min="18" max="18"/>
    <col width="32" customWidth="1" min="19" max="19"/>
    <col width="32" customWidth="1" min="20" max="20"/>
    <col width="32" customWidth="1" min="21" max="21"/>
    <col width="32" customWidth="1" min="22" max="22"/>
    <col width="32" customWidth="1" min="23" max="23"/>
    <col width="32" customWidth="1" min="24" max="24"/>
    <col width="32" customWidth="1" min="25" max="25"/>
    <col width="32" customWidth="1" min="26" max="26"/>
    <col width="32" customWidth="1" min="27" max="27"/>
  </cols>
  <sheetData>
    <row r="1" ht="30" customHeight="1">
      <c r="A1" s="7" t="inlineStr">
        <is>
          <t>week_start</t>
        </is>
      </c>
      <c r="B1" s="7" t="inlineStr">
        <is>
          <t>montant_total_attendu</t>
        </is>
      </c>
      <c r="C1" s="7" t="inlineStr">
        <is>
          <t>montant_total_rembourse</t>
        </is>
      </c>
      <c r="D1" s="7" t="inlineStr">
        <is>
          <t>montant_en_defaut</t>
        </is>
      </c>
      <c r="E1" s="7" t="inlineStr">
        <is>
          <t>montant_total_finance</t>
        </is>
      </c>
      <c r="F1" s="7" t="inlineStr">
        <is>
          <t>encours_retard_7</t>
        </is>
      </c>
      <c r="G1" s="7" t="inlineStr">
        <is>
          <t>encours_total</t>
        </is>
      </c>
      <c r="H1" s="7" t="inlineStr">
        <is>
          <t>paiements_temps</t>
        </is>
      </c>
      <c r="I1" s="7" t="inlineStr">
        <is>
          <t>paiements_attendus</t>
        </is>
      </c>
      <c r="J1" s="7" t="inlineStr">
        <is>
          <t>total_collecte</t>
        </is>
      </c>
      <c r="K1" s="7" t="inlineStr">
        <is>
          <t>montant_recupere</t>
        </is>
      </c>
      <c r="L1" s="7" t="inlineStr">
        <is>
          <t>montant_total_prete</t>
        </is>
      </c>
      <c r="M1" s="7" t="inlineStr">
        <is>
          <t>encours_retard_30</t>
        </is>
      </c>
      <c r="N1" s="7" t="inlineStr">
        <is>
          <t>nombre_beneficiaires</t>
        </is>
      </c>
      <c r="O1" s="7" t="inlineStr">
        <is>
          <t>cout_total_projet</t>
        </is>
      </c>
      <c r="P1" s="7" t="inlineStr">
        <is>
          <t>beneficiaires_finances</t>
        </is>
      </c>
      <c r="Q1" s="8" t="inlineStr">
        <is>
          <t>taux_remboursement_jour</t>
        </is>
      </c>
      <c r="R1" s="8" t="inlineStr">
        <is>
          <t>retardataires_j1</t>
        </is>
      </c>
      <c r="S1" s="8" t="inlineStr">
        <is>
          <t>taux_remboursement</t>
        </is>
      </c>
      <c r="T1" s="8" t="inlineStr">
        <is>
          <t>taux_defaut</t>
        </is>
      </c>
      <c r="U1" s="8" t="inlineStr">
        <is>
          <t>par7</t>
        </is>
      </c>
      <c r="V1" s="8" t="inlineStr">
        <is>
          <t>taux_paiement_temps</t>
        </is>
      </c>
      <c r="W1" s="8" t="inlineStr">
        <is>
          <t>montant_moyen</t>
        </is>
      </c>
      <c r="X1" s="8" t="inlineStr">
        <is>
          <t>recovery_rate</t>
        </is>
      </c>
      <c r="Y1" s="8" t="inlineStr">
        <is>
          <t>rentabilite</t>
        </is>
      </c>
      <c r="Z1" s="8" t="inlineStr">
        <is>
          <t>cout_par_benef</t>
        </is>
      </c>
      <c r="AA1" s="8" t="inlineStr">
        <is>
          <t>par30</t>
        </is>
      </c>
    </row>
    <row r="2" ht="22" customHeight="1">
      <c r="A2" s="9" t="n">
        <v>46027</v>
      </c>
      <c r="B2" s="10" t="n">
        <v>8624132.099141063</v>
      </c>
      <c r="C2" s="10" t="n">
        <v>7731147.551794873</v>
      </c>
      <c r="D2" s="10" t="n">
        <v>715597.3680380881</v>
      </c>
      <c r="E2" s="10" t="n">
        <v>10563000</v>
      </c>
      <c r="F2" s="10" t="n">
        <v>2964724.333456628</v>
      </c>
      <c r="G2" s="10" t="n">
        <v>42252000</v>
      </c>
      <c r="H2" s="10" t="n">
        <v>388</v>
      </c>
      <c r="I2" s="10" t="n">
        <v>462</v>
      </c>
      <c r="J2" s="10" t="n">
        <v>7731147.551794873</v>
      </c>
      <c r="K2" s="10" t="n">
        <v>8167859.46842086</v>
      </c>
      <c r="L2" s="10" t="n">
        <v>10563000</v>
      </c>
      <c r="M2" s="10" t="n">
        <v>0</v>
      </c>
      <c r="N2" s="10" t="n">
        <v>0</v>
      </c>
      <c r="O2" s="10" t="n">
        <v>0</v>
      </c>
      <c r="P2" s="10" t="n">
        <v>0</v>
      </c>
      <c r="Q2" s="11">
        <f>IF($A2="","",IFERROR(C2/B2,0))</f>
        <v/>
      </c>
      <c r="R2" s="12">
        <f>IF($A2="","",MAX(I2-H2,0))</f>
        <v/>
      </c>
      <c r="S2" s="11">
        <f>IF($A2="","",IFERROR(C2/B2,0))</f>
        <v/>
      </c>
      <c r="T2" s="11">
        <f>IF($A2="","",IFERROR(D2/E2,0))</f>
        <v/>
      </c>
      <c r="U2" s="11">
        <f>IF($A2="","",IFERROR(F2/G2,0))</f>
        <v/>
      </c>
      <c r="V2" s="11">
        <f>IF($A2="","",IFERROR(H2/I2,0))</f>
        <v/>
      </c>
      <c r="W2" s="13">
        <f>IF($A2="","",IFERROR(J2/N2,0))</f>
        <v/>
      </c>
      <c r="X2" s="11">
        <f>IF($A2="","",IFERROR(K2/L2,0))</f>
        <v/>
      </c>
      <c r="Y2" s="13">
        <f>IF($A2="","",IFERROR(C2-O2,0))</f>
        <v/>
      </c>
      <c r="Z2" s="13">
        <f>IF($A2="","",IFERROR(O2/N2,0))</f>
        <v/>
      </c>
      <c r="AA2" s="11">
        <f>IF($A2="","",IFERROR(M2/G2,0))</f>
        <v/>
      </c>
    </row>
    <row r="3" ht="22" customHeight="1">
      <c r="A3" s="9" t="n">
        <v>46034</v>
      </c>
      <c r="B3" s="10" t="n">
        <v>8499201.322680855</v>
      </c>
      <c r="C3" s="10" t="n">
        <v>7810467.950929313</v>
      </c>
      <c r="D3" s="10" t="n">
        <v>731173.2429994354</v>
      </c>
      <c r="E3" s="10" t="n">
        <v>10626000</v>
      </c>
      <c r="F3" s="10" t="n">
        <v>2851986.513215835</v>
      </c>
      <c r="G3" s="10" t="n">
        <v>42504000</v>
      </c>
      <c r="H3" s="10" t="n">
        <v>422</v>
      </c>
      <c r="I3" s="10" t="n">
        <v>465</v>
      </c>
      <c r="J3" s="10" t="n">
        <v>7810467.950929313</v>
      </c>
      <c r="K3" s="10" t="n">
        <v>8166373.270874938</v>
      </c>
      <c r="L3" s="10" t="n">
        <v>10626000</v>
      </c>
      <c r="M3" s="10" t="n">
        <v>0</v>
      </c>
      <c r="N3" s="10" t="n">
        <v>0</v>
      </c>
      <c r="O3" s="10" t="n">
        <v>0</v>
      </c>
      <c r="P3" s="10" t="n">
        <v>0</v>
      </c>
      <c r="Q3" s="11">
        <f>IF($A3="","",IFERROR(C3/B3,0))</f>
        <v/>
      </c>
      <c r="R3" s="12">
        <f>IF($A3="","",MAX(I3-H3,0))</f>
        <v/>
      </c>
      <c r="S3" s="11">
        <f>IF($A3="","",IFERROR(C3/B3,0))</f>
        <v/>
      </c>
      <c r="T3" s="11">
        <f>IF($A3="","",IFERROR(D3/E3,0))</f>
        <v/>
      </c>
      <c r="U3" s="11">
        <f>IF($A3="","",IFERROR(F3/G3,0))</f>
        <v/>
      </c>
      <c r="V3" s="11">
        <f>IF($A3="","",IFERROR(H3/I3,0))</f>
        <v/>
      </c>
      <c r="W3" s="13">
        <f>IF($A3="","",IFERROR(J3/N3,0))</f>
        <v/>
      </c>
      <c r="X3" s="11">
        <f>IF($A3="","",IFERROR(K3/L3,0))</f>
        <v/>
      </c>
      <c r="Y3" s="13">
        <f>IF($A3="","",IFERROR(C3-O3,0))</f>
        <v/>
      </c>
      <c r="Z3" s="13">
        <f>IF($A3="","",IFERROR(O3/N3,0))</f>
        <v/>
      </c>
      <c r="AA3" s="11">
        <f>IF($A3="","",IFERROR(M3/G3,0))</f>
        <v/>
      </c>
    </row>
    <row r="4" ht="22" customHeight="1">
      <c r="A4" s="9" t="n">
        <v>46041</v>
      </c>
      <c r="B4" s="10" t="n">
        <v>8815939.255137255</v>
      </c>
      <c r="C4" s="10" t="n">
        <v>8246345.275861898</v>
      </c>
      <c r="D4" s="10" t="n">
        <v>742432.3789331899</v>
      </c>
      <c r="E4" s="10" t="n">
        <v>10689000</v>
      </c>
      <c r="F4" s="10" t="n">
        <v>3165110.088575001</v>
      </c>
      <c r="G4" s="10" t="n">
        <v>42756000</v>
      </c>
      <c r="H4" s="10" t="n">
        <v>415</v>
      </c>
      <c r="I4" s="10" t="n">
        <v>468</v>
      </c>
      <c r="J4" s="10" t="n">
        <v>8246345.275861898</v>
      </c>
      <c r="K4" s="10" t="n">
        <v>8626546.377687175</v>
      </c>
      <c r="L4" s="10" t="n">
        <v>10689000</v>
      </c>
      <c r="M4" s="10" t="n">
        <v>0</v>
      </c>
      <c r="N4" s="10" t="n">
        <v>0</v>
      </c>
      <c r="O4" s="10" t="n">
        <v>0</v>
      </c>
      <c r="P4" s="10" t="n">
        <v>0</v>
      </c>
      <c r="Q4" s="11">
        <f>IF($A4="","",IFERROR(C4/B4,0))</f>
        <v/>
      </c>
      <c r="R4" s="12">
        <f>IF($A4="","",MAX(I4-H4,0))</f>
        <v/>
      </c>
      <c r="S4" s="11">
        <f>IF($A4="","",IFERROR(C4/B4,0))</f>
        <v/>
      </c>
      <c r="T4" s="11">
        <f>IF($A4="","",IFERROR(D4/E4,0))</f>
        <v/>
      </c>
      <c r="U4" s="11">
        <f>IF($A4="","",IFERROR(F4/G4,0))</f>
        <v/>
      </c>
      <c r="V4" s="11">
        <f>IF($A4="","",IFERROR(H4/I4,0))</f>
        <v/>
      </c>
      <c r="W4" s="13">
        <f>IF($A4="","",IFERROR(J4/N4,0))</f>
        <v/>
      </c>
      <c r="X4" s="11">
        <f>IF($A4="","",IFERROR(K4/L4,0))</f>
        <v/>
      </c>
      <c r="Y4" s="13">
        <f>IF($A4="","",IFERROR(C4-O4,0))</f>
        <v/>
      </c>
      <c r="Z4" s="13">
        <f>IF($A4="","",IFERROR(O4/N4,0))</f>
        <v/>
      </c>
      <c r="AA4" s="11">
        <f>IF($A4="","",IFERROR(M4/G4,0))</f>
        <v/>
      </c>
    </row>
    <row r="5" ht="22" customHeight="1">
      <c r="A5" s="9" t="n">
        <v>46048</v>
      </c>
      <c r="B5" s="10" t="n">
        <v>8483331.451359613</v>
      </c>
      <c r="C5" s="10" t="n">
        <v>8070692.587589541</v>
      </c>
      <c r="D5" s="10" t="n">
        <v>764379.8399029403</v>
      </c>
      <c r="E5" s="10" t="n">
        <v>10752000</v>
      </c>
      <c r="F5" s="10" t="n">
        <v>3369001.444184922</v>
      </c>
      <c r="G5" s="10" t="n">
        <v>43008000</v>
      </c>
      <c r="H5" s="10" t="n">
        <v>435</v>
      </c>
      <c r="I5" s="10" t="n">
        <v>471</v>
      </c>
      <c r="J5" s="10" t="n">
        <v>8070692.587589541</v>
      </c>
      <c r="K5" s="10" t="n">
        <v>8524146.258182762</v>
      </c>
      <c r="L5" s="10" t="n">
        <v>10752000</v>
      </c>
      <c r="M5" s="10" t="n">
        <v>0</v>
      </c>
      <c r="N5" s="10" t="n">
        <v>0</v>
      </c>
      <c r="O5" s="10" t="n">
        <v>0</v>
      </c>
      <c r="P5" s="10" t="n">
        <v>0</v>
      </c>
      <c r="Q5" s="11">
        <f>IF($A5="","",IFERROR(C5/B5,0))</f>
        <v/>
      </c>
      <c r="R5" s="12">
        <f>IF($A5="","",MAX(I5-H5,0))</f>
        <v/>
      </c>
      <c r="S5" s="11">
        <f>IF($A5="","",IFERROR(C5/B5,0))</f>
        <v/>
      </c>
      <c r="T5" s="11">
        <f>IF($A5="","",IFERROR(D5/E5,0))</f>
        <v/>
      </c>
      <c r="U5" s="11">
        <f>IF($A5="","",IFERROR(F5/G5,0))</f>
        <v/>
      </c>
      <c r="V5" s="11">
        <f>IF($A5="","",IFERROR(H5/I5,0))</f>
        <v/>
      </c>
      <c r="W5" s="13">
        <f>IF($A5="","",IFERROR(J5/N5,0))</f>
        <v/>
      </c>
      <c r="X5" s="11">
        <f>IF($A5="","",IFERROR(K5/L5,0))</f>
        <v/>
      </c>
      <c r="Y5" s="13">
        <f>IF($A5="","",IFERROR(C5-O5,0))</f>
        <v/>
      </c>
      <c r="Z5" s="13">
        <f>IF($A5="","",IFERROR(O5/N5,0))</f>
        <v/>
      </c>
      <c r="AA5" s="11">
        <f>IF($A5="","",IFERROR(M5/G5,0))</f>
        <v/>
      </c>
    </row>
    <row r="6" ht="22" customHeight="1">
      <c r="A6" s="9" t="n">
        <v>46055</v>
      </c>
      <c r="B6" s="10" t="n">
        <v>8437552.093034944</v>
      </c>
      <c r="C6" s="10" t="n">
        <v>7813735.679299283</v>
      </c>
      <c r="D6" s="10" t="n">
        <v>836542.5093497005</v>
      </c>
      <c r="E6" s="10" t="n">
        <v>10815000</v>
      </c>
      <c r="F6" s="10" t="n">
        <v>2707807.348378667</v>
      </c>
      <c r="G6" s="10" t="n">
        <v>43260000</v>
      </c>
      <c r="H6" s="10" t="n">
        <v>425</v>
      </c>
      <c r="I6" s="10" t="n">
        <v>473</v>
      </c>
      <c r="J6" s="10" t="n">
        <v>7813735.679299283</v>
      </c>
      <c r="K6" s="10" t="n">
        <v>8270295.78629861</v>
      </c>
      <c r="L6" s="10" t="n">
        <v>10815000</v>
      </c>
      <c r="M6" s="10" t="n">
        <v>0</v>
      </c>
      <c r="N6" s="10" t="n">
        <v>0</v>
      </c>
      <c r="O6" s="10" t="n">
        <v>0</v>
      </c>
      <c r="P6" s="10" t="n">
        <v>0</v>
      </c>
      <c r="Q6" s="11">
        <f>IF($A6="","",IFERROR(C6/B6,0))</f>
        <v/>
      </c>
      <c r="R6" s="12">
        <f>IF($A6="","",MAX(I6-H6,0))</f>
        <v/>
      </c>
      <c r="S6" s="11">
        <f>IF($A6="","",IFERROR(C6/B6,0))</f>
        <v/>
      </c>
      <c r="T6" s="11">
        <f>IF($A6="","",IFERROR(D6/E6,0))</f>
        <v/>
      </c>
      <c r="U6" s="11">
        <f>IF($A6="","",IFERROR(F6/G6,0))</f>
        <v/>
      </c>
      <c r="V6" s="11">
        <f>IF($A6="","",IFERROR(H6/I6,0))</f>
        <v/>
      </c>
      <c r="W6" s="13">
        <f>IF($A6="","",IFERROR(J6/N6,0))</f>
        <v/>
      </c>
      <c r="X6" s="11">
        <f>IF($A6="","",IFERROR(K6/L6,0))</f>
        <v/>
      </c>
      <c r="Y6" s="13">
        <f>IF($A6="","",IFERROR(C6-O6,0))</f>
        <v/>
      </c>
      <c r="Z6" s="13">
        <f>IF($A6="","",IFERROR(O6/N6,0))</f>
        <v/>
      </c>
      <c r="AA6" s="11">
        <f>IF($A6="","",IFERROR(M6/G6,0))</f>
        <v/>
      </c>
    </row>
    <row r="7" ht="22" customHeight="1">
      <c r="A7" s="9" t="n">
        <v>46062</v>
      </c>
      <c r="B7" s="10" t="n">
        <v>8560360.601770753</v>
      </c>
      <c r="C7" s="10" t="n">
        <v>8182320.846634611</v>
      </c>
      <c r="D7" s="10" t="n">
        <v>849453.4800849531</v>
      </c>
      <c r="E7" s="10" t="n">
        <v>10878000</v>
      </c>
      <c r="F7" s="10" t="n">
        <v>4044579.377777306</v>
      </c>
      <c r="G7" s="10" t="n">
        <v>43512000</v>
      </c>
      <c r="H7" s="10" t="n">
        <v>454</v>
      </c>
      <c r="I7" s="10" t="n">
        <v>476</v>
      </c>
      <c r="J7" s="10" t="n">
        <v>8182320.846634611</v>
      </c>
      <c r="K7" s="10" t="n">
        <v>8776716.126259742</v>
      </c>
      <c r="L7" s="10" t="n">
        <v>10878000</v>
      </c>
      <c r="M7" s="10" t="n">
        <v>0</v>
      </c>
      <c r="N7" s="10" t="n">
        <v>0</v>
      </c>
      <c r="O7" s="10" t="n">
        <v>0</v>
      </c>
      <c r="P7" s="10" t="n">
        <v>0</v>
      </c>
      <c r="Q7" s="11">
        <f>IF($A7="","",IFERROR(C7/B7,0))</f>
        <v/>
      </c>
      <c r="R7" s="12">
        <f>IF($A7="","",MAX(I7-H7,0))</f>
        <v/>
      </c>
      <c r="S7" s="11">
        <f>IF($A7="","",IFERROR(C7/B7,0))</f>
        <v/>
      </c>
      <c r="T7" s="11">
        <f>IF($A7="","",IFERROR(D7/E7,0))</f>
        <v/>
      </c>
      <c r="U7" s="11">
        <f>IF($A7="","",IFERROR(F7/G7,0))</f>
        <v/>
      </c>
      <c r="V7" s="11">
        <f>IF($A7="","",IFERROR(H7/I7,0))</f>
        <v/>
      </c>
      <c r="W7" s="13">
        <f>IF($A7="","",IFERROR(J7/N7,0))</f>
        <v/>
      </c>
      <c r="X7" s="11">
        <f>IF($A7="","",IFERROR(K7/L7,0))</f>
        <v/>
      </c>
      <c r="Y7" s="13">
        <f>IF($A7="","",IFERROR(C7-O7,0))</f>
        <v/>
      </c>
      <c r="Z7" s="13">
        <f>IF($A7="","",IFERROR(O7/N7,0))</f>
        <v/>
      </c>
      <c r="AA7" s="11">
        <f>IF($A7="","",IFERROR(M7/G7,0))</f>
        <v/>
      </c>
    </row>
    <row r="8" ht="22" customHeight="1">
      <c r="A8" s="9" t="n">
        <v>46069</v>
      </c>
      <c r="B8" s="10" t="n">
        <v>8661894.137125522</v>
      </c>
      <c r="C8" s="10" t="n">
        <v>8204977.025592583</v>
      </c>
      <c r="D8" s="10" t="n">
        <v>773322.3907967707</v>
      </c>
      <c r="E8" s="10" t="n">
        <v>10941000</v>
      </c>
      <c r="F8" s="10" t="n">
        <v>3407899.83657148</v>
      </c>
      <c r="G8" s="10" t="n">
        <v>43764000</v>
      </c>
      <c r="H8" s="10" t="n">
        <v>455</v>
      </c>
      <c r="I8" s="10" t="n">
        <v>479</v>
      </c>
      <c r="J8" s="10" t="n">
        <v>8204977.025592583</v>
      </c>
      <c r="K8" s="10" t="n">
        <v>8754250.580800865</v>
      </c>
      <c r="L8" s="10" t="n">
        <v>10941000</v>
      </c>
      <c r="M8" s="10" t="n">
        <v>0</v>
      </c>
      <c r="N8" s="10" t="n">
        <v>0</v>
      </c>
      <c r="O8" s="10" t="n">
        <v>0</v>
      </c>
      <c r="P8" s="10" t="n">
        <v>0</v>
      </c>
      <c r="Q8" s="11">
        <f>IF($A8="","",IFERROR(C8/B8,0))</f>
        <v/>
      </c>
      <c r="R8" s="12">
        <f>IF($A8="","",MAX(I8-H8,0))</f>
        <v/>
      </c>
      <c r="S8" s="11">
        <f>IF($A8="","",IFERROR(C8/B8,0))</f>
        <v/>
      </c>
      <c r="T8" s="11">
        <f>IF($A8="","",IFERROR(D8/E8,0))</f>
        <v/>
      </c>
      <c r="U8" s="11">
        <f>IF($A8="","",IFERROR(F8/G8,0))</f>
        <v/>
      </c>
      <c r="V8" s="11">
        <f>IF($A8="","",IFERROR(H8/I8,0))</f>
        <v/>
      </c>
      <c r="W8" s="13">
        <f>IF($A8="","",IFERROR(J8/N8,0))</f>
        <v/>
      </c>
      <c r="X8" s="11">
        <f>IF($A8="","",IFERROR(K8/L8,0))</f>
        <v/>
      </c>
      <c r="Y8" s="13">
        <f>IF($A8="","",IFERROR(C8-O8,0))</f>
        <v/>
      </c>
      <c r="Z8" s="13">
        <f>IF($A8="","",IFERROR(O8/N8,0))</f>
        <v/>
      </c>
      <c r="AA8" s="11">
        <f>IF($A8="","",IFERROR(M8/G8,0))</f>
        <v/>
      </c>
    </row>
    <row r="9" ht="22" customHeight="1">
      <c r="A9" s="9" t="n">
        <v>46076</v>
      </c>
      <c r="B9" s="10" t="n">
        <v>8870406.904562058</v>
      </c>
      <c r="C9" s="10" t="n">
        <v>8495551.332645545</v>
      </c>
      <c r="D9" s="10" t="n">
        <v>796542.9958987228</v>
      </c>
      <c r="E9" s="10" t="n">
        <v>11004000</v>
      </c>
      <c r="F9" s="10" t="n">
        <v>3852539.295324169</v>
      </c>
      <c r="G9" s="10" t="n">
        <v>44016000</v>
      </c>
      <c r="H9" s="10" t="n">
        <v>448</v>
      </c>
      <c r="I9" s="10" t="n">
        <v>482</v>
      </c>
      <c r="J9" s="10" t="n">
        <v>8495551.332645545</v>
      </c>
      <c r="K9" s="10" t="n">
        <v>8937360.87903698</v>
      </c>
      <c r="L9" s="10" t="n">
        <v>11004000</v>
      </c>
      <c r="M9" s="10" t="n">
        <v>0</v>
      </c>
      <c r="N9" s="10" t="n">
        <v>0</v>
      </c>
      <c r="O9" s="10" t="n">
        <v>0</v>
      </c>
      <c r="P9" s="10" t="n">
        <v>0</v>
      </c>
      <c r="Q9" s="11">
        <f>IF($A9="","",IFERROR(C9/B9,0))</f>
        <v/>
      </c>
      <c r="R9" s="12">
        <f>IF($A9="","",MAX(I9-H9,0))</f>
        <v/>
      </c>
      <c r="S9" s="11">
        <f>IF($A9="","",IFERROR(C9/B9,0))</f>
        <v/>
      </c>
      <c r="T9" s="11">
        <f>IF($A9="","",IFERROR(D9/E9,0))</f>
        <v/>
      </c>
      <c r="U9" s="11">
        <f>IF($A9="","",IFERROR(F9/G9,0))</f>
        <v/>
      </c>
      <c r="V9" s="11">
        <f>IF($A9="","",IFERROR(H9/I9,0))</f>
        <v/>
      </c>
      <c r="W9" s="13">
        <f>IF($A9="","",IFERROR(J9/N9,0))</f>
        <v/>
      </c>
      <c r="X9" s="11">
        <f>IF($A9="","",IFERROR(K9/L9,0))</f>
        <v/>
      </c>
      <c r="Y9" s="13">
        <f>IF($A9="","",IFERROR(C9-O9,0))</f>
        <v/>
      </c>
      <c r="Z9" s="13">
        <f>IF($A9="","",IFERROR(O9/N9,0))</f>
        <v/>
      </c>
      <c r="AA9" s="11">
        <f>IF($A9="","",IFERROR(M9/G9,0))</f>
        <v/>
      </c>
    </row>
    <row r="10" ht="22" customHeight="1">
      <c r="A10" s="9" t="n">
        <v>46083</v>
      </c>
      <c r="B10" s="10" t="n">
        <v>8867035.042927362</v>
      </c>
      <c r="C10" s="10" t="n">
        <v>8783375.271936577</v>
      </c>
      <c r="D10" s="10" t="n">
        <v>761226.7691587372</v>
      </c>
      <c r="E10" s="10" t="n">
        <v>11067000</v>
      </c>
      <c r="F10" s="10" t="n">
        <v>3263205.00634002</v>
      </c>
      <c r="G10" s="10" t="n">
        <v>44268000</v>
      </c>
      <c r="H10" s="10" t="n">
        <v>476</v>
      </c>
      <c r="I10" s="10" t="n">
        <v>484</v>
      </c>
      <c r="J10" s="10" t="n">
        <v>8783375.271936577</v>
      </c>
      <c r="K10" s="10" t="n">
        <v>9250214.489936851</v>
      </c>
      <c r="L10" s="10" t="n">
        <v>11067000</v>
      </c>
      <c r="M10" s="10" t="n">
        <v>0</v>
      </c>
      <c r="N10" s="10" t="n">
        <v>0</v>
      </c>
      <c r="O10" s="10" t="n">
        <v>0</v>
      </c>
      <c r="P10" s="10" t="n">
        <v>0</v>
      </c>
      <c r="Q10" s="11">
        <f>IF($A10="","",IFERROR(C10/B10,0))</f>
        <v/>
      </c>
      <c r="R10" s="12">
        <f>IF($A10="","",MAX(I10-H10,0))</f>
        <v/>
      </c>
      <c r="S10" s="11">
        <f>IF($A10="","",IFERROR(C10/B10,0))</f>
        <v/>
      </c>
      <c r="T10" s="11">
        <f>IF($A10="","",IFERROR(D10/E10,0))</f>
        <v/>
      </c>
      <c r="U10" s="11">
        <f>IF($A10="","",IFERROR(F10/G10,0))</f>
        <v/>
      </c>
      <c r="V10" s="11">
        <f>IF($A10="","",IFERROR(H10/I10,0))</f>
        <v/>
      </c>
      <c r="W10" s="13">
        <f>IF($A10="","",IFERROR(J10/N10,0))</f>
        <v/>
      </c>
      <c r="X10" s="11">
        <f>IF($A10="","",IFERROR(K10/L10,0))</f>
        <v/>
      </c>
      <c r="Y10" s="13">
        <f>IF($A10="","",IFERROR(C10-O10,0))</f>
        <v/>
      </c>
      <c r="Z10" s="13">
        <f>IF($A10="","",IFERROR(O10/N10,0))</f>
        <v/>
      </c>
      <c r="AA10" s="11">
        <f>IF($A10="","",IFERROR(M10/G10,0))</f>
        <v/>
      </c>
    </row>
    <row r="11" ht="22" customHeight="1">
      <c r="A11" s="9" t="n">
        <v>46090</v>
      </c>
      <c r="B11" s="10" t="n">
        <v>9139147.704880942</v>
      </c>
      <c r="C11" s="10" t="n">
        <v>9028159.684794117</v>
      </c>
      <c r="D11" s="10" t="n">
        <v>908380.1858822134</v>
      </c>
      <c r="E11" s="10" t="n">
        <v>11130000</v>
      </c>
      <c r="F11" s="10" t="n">
        <v>3473246.306785922</v>
      </c>
      <c r="G11" s="10" t="n">
        <v>44520000</v>
      </c>
      <c r="H11" s="10" t="n">
        <v>469</v>
      </c>
      <c r="I11" s="10" t="n">
        <v>487</v>
      </c>
      <c r="J11" s="10" t="n">
        <v>9028159.684794117</v>
      </c>
      <c r="K11" s="10" t="n">
        <v>9465702.160206251</v>
      </c>
      <c r="L11" s="10" t="n">
        <v>11130000</v>
      </c>
      <c r="M11" s="10" t="n">
        <v>0</v>
      </c>
      <c r="N11" s="10" t="n">
        <v>0</v>
      </c>
      <c r="O11" s="10" t="n">
        <v>0</v>
      </c>
      <c r="P11" s="10" t="n">
        <v>0</v>
      </c>
      <c r="Q11" s="11">
        <f>IF($A11="","",IFERROR(C11/B11,0))</f>
        <v/>
      </c>
      <c r="R11" s="12">
        <f>IF($A11="","",MAX(I11-H11,0))</f>
        <v/>
      </c>
      <c r="S11" s="11">
        <f>IF($A11="","",IFERROR(C11/B11,0))</f>
        <v/>
      </c>
      <c r="T11" s="11">
        <f>IF($A11="","",IFERROR(D11/E11,0))</f>
        <v/>
      </c>
      <c r="U11" s="11">
        <f>IF($A11="","",IFERROR(F11/G11,0))</f>
        <v/>
      </c>
      <c r="V11" s="11">
        <f>IF($A11="","",IFERROR(H11/I11,0))</f>
        <v/>
      </c>
      <c r="W11" s="13">
        <f>IF($A11="","",IFERROR(J11/N11,0))</f>
        <v/>
      </c>
      <c r="X11" s="11">
        <f>IF($A11="","",IFERROR(K11/L11,0))</f>
        <v/>
      </c>
      <c r="Y11" s="13">
        <f>IF($A11="","",IFERROR(C11-O11,0))</f>
        <v/>
      </c>
      <c r="Z11" s="13">
        <f>IF($A11="","",IFERROR(O11/N11,0))</f>
        <v/>
      </c>
      <c r="AA11" s="11">
        <f>IF($A11="","",IFERROR(M11/G11,0))</f>
        <v/>
      </c>
    </row>
    <row r="12" ht="22" customHeight="1">
      <c r="A12" s="9" t="n">
        <v>46097</v>
      </c>
      <c r="B12" s="10" t="n">
        <v>8850553.413239779</v>
      </c>
      <c r="C12" s="10" t="n">
        <v>8463848.121656174</v>
      </c>
      <c r="D12" s="10" t="n">
        <v>708898.0330043482</v>
      </c>
      <c r="E12" s="10" t="n">
        <v>11193000</v>
      </c>
      <c r="F12" s="10" t="n">
        <v>3147049.908214167</v>
      </c>
      <c r="G12" s="10" t="n">
        <v>44772000</v>
      </c>
      <c r="H12" s="10" t="n">
        <v>480</v>
      </c>
      <c r="I12" s="10" t="n">
        <v>490</v>
      </c>
      <c r="J12" s="10" t="n">
        <v>8463848.121656174</v>
      </c>
      <c r="K12" s="10" t="n">
        <v>8839063.712573223</v>
      </c>
      <c r="L12" s="10" t="n">
        <v>11193000</v>
      </c>
      <c r="M12" s="10" t="n">
        <v>0</v>
      </c>
      <c r="N12" s="10" t="n">
        <v>0</v>
      </c>
      <c r="O12" s="10" t="n">
        <v>0</v>
      </c>
      <c r="P12" s="10" t="n">
        <v>0</v>
      </c>
      <c r="Q12" s="11">
        <f>IF($A12="","",IFERROR(C12/B12,0))</f>
        <v/>
      </c>
      <c r="R12" s="12">
        <f>IF($A12="","",MAX(I12-H12,0))</f>
        <v/>
      </c>
      <c r="S12" s="11">
        <f>IF($A12="","",IFERROR(C12/B12,0))</f>
        <v/>
      </c>
      <c r="T12" s="11">
        <f>IF($A12="","",IFERROR(D12/E12,0))</f>
        <v/>
      </c>
      <c r="U12" s="11">
        <f>IF($A12="","",IFERROR(F12/G12,0))</f>
        <v/>
      </c>
      <c r="V12" s="11">
        <f>IF($A12="","",IFERROR(H12/I12,0))</f>
        <v/>
      </c>
      <c r="W12" s="13">
        <f>IF($A12="","",IFERROR(J12/N12,0))</f>
        <v/>
      </c>
      <c r="X12" s="11">
        <f>IF($A12="","",IFERROR(K12/L12,0))</f>
        <v/>
      </c>
      <c r="Y12" s="13">
        <f>IF($A12="","",IFERROR(C12-O12,0))</f>
        <v/>
      </c>
      <c r="Z12" s="13">
        <f>IF($A12="","",IFERROR(O12/N12,0))</f>
        <v/>
      </c>
      <c r="AA12" s="11">
        <f>IF($A12="","",IFERROR(M12/G12,0))</f>
        <v/>
      </c>
    </row>
    <row r="13" ht="22" customHeight="1">
      <c r="A13" s="9" t="n">
        <v>46104</v>
      </c>
      <c r="B13" s="10" t="n">
        <v>9225169.245410834</v>
      </c>
      <c r="C13" s="10" t="n">
        <v>9010517.117322776</v>
      </c>
      <c r="D13" s="10" t="n">
        <v>976908.2572232921</v>
      </c>
      <c r="E13" s="10" t="n">
        <v>11256000</v>
      </c>
      <c r="F13" s="10" t="n">
        <v>4197988.388865552</v>
      </c>
      <c r="G13" s="10" t="n">
        <v>45024000</v>
      </c>
      <c r="H13" s="10" t="n">
        <v>472</v>
      </c>
      <c r="I13" s="10" t="n">
        <v>493</v>
      </c>
      <c r="J13" s="10" t="n">
        <v>9010517.117322776</v>
      </c>
      <c r="K13" s="10" t="n">
        <v>9610529.361079419</v>
      </c>
      <c r="L13" s="10" t="n">
        <v>11256000</v>
      </c>
      <c r="M13" s="10" t="n">
        <v>0</v>
      </c>
      <c r="N13" s="10" t="n">
        <v>0</v>
      </c>
      <c r="O13" s="10" t="n">
        <v>0</v>
      </c>
      <c r="P13" s="10" t="n">
        <v>0</v>
      </c>
      <c r="Q13" s="11">
        <f>IF($A13="","",IFERROR(C13/B13,0))</f>
        <v/>
      </c>
      <c r="R13" s="12">
        <f>IF($A13="","",MAX(I13-H13,0))</f>
        <v/>
      </c>
      <c r="S13" s="11">
        <f>IF($A13="","",IFERROR(C13/B13,0))</f>
        <v/>
      </c>
      <c r="T13" s="11">
        <f>IF($A13="","",IFERROR(D13/E13,0))</f>
        <v/>
      </c>
      <c r="U13" s="11">
        <f>IF($A13="","",IFERROR(F13/G13,0))</f>
        <v/>
      </c>
      <c r="V13" s="11">
        <f>IF($A13="","",IFERROR(H13/I13,0))</f>
        <v/>
      </c>
      <c r="W13" s="13">
        <f>IF($A13="","",IFERROR(J13/N13,0))</f>
        <v/>
      </c>
      <c r="X13" s="11">
        <f>IF($A13="","",IFERROR(K13/L13,0))</f>
        <v/>
      </c>
      <c r="Y13" s="13">
        <f>IF($A13="","",IFERROR(C13-O13,0))</f>
        <v/>
      </c>
      <c r="Z13" s="13">
        <f>IF($A13="","",IFERROR(O13/N13,0))</f>
        <v/>
      </c>
      <c r="AA13" s="11">
        <f>IF($A13="","",IFERROR(M13/G13,0))</f>
        <v/>
      </c>
    </row>
    <row r="14" ht="22" customHeight="1">
      <c r="A14" s="9" t="n">
        <v>46111</v>
      </c>
      <c r="B14" s="10" t="n">
        <v>9092878.915407147</v>
      </c>
      <c r="C14" s="10" t="n">
        <v>8631049.449164266</v>
      </c>
      <c r="D14" s="10" t="n">
        <v>927390.7039800257</v>
      </c>
      <c r="E14" s="10" t="n">
        <v>11319000</v>
      </c>
      <c r="F14" s="10" t="n">
        <v>4145096.474830159</v>
      </c>
      <c r="G14" s="10" t="n">
        <v>45276000</v>
      </c>
      <c r="H14" s="10" t="n">
        <v>475</v>
      </c>
      <c r="I14" s="10" t="n">
        <v>495</v>
      </c>
      <c r="J14" s="10" t="n">
        <v>8631049.449164266</v>
      </c>
      <c r="K14" s="10" t="n">
        <v>9107026.705702953</v>
      </c>
      <c r="L14" s="10" t="n">
        <v>11319000</v>
      </c>
      <c r="M14" s="10" t="n">
        <v>0</v>
      </c>
      <c r="N14" s="10" t="n">
        <v>0</v>
      </c>
      <c r="O14" s="10" t="n">
        <v>0</v>
      </c>
      <c r="P14" s="10" t="n">
        <v>0</v>
      </c>
      <c r="Q14" s="11">
        <f>IF($A14="","",IFERROR(C14/B14,0))</f>
        <v/>
      </c>
      <c r="R14" s="12">
        <f>IF($A14="","",MAX(I14-H14,0))</f>
        <v/>
      </c>
      <c r="S14" s="11">
        <f>IF($A14="","",IFERROR(C14/B14,0))</f>
        <v/>
      </c>
      <c r="T14" s="11">
        <f>IF($A14="","",IFERROR(D14/E14,0))</f>
        <v/>
      </c>
      <c r="U14" s="11">
        <f>IF($A14="","",IFERROR(F14/G14,0))</f>
        <v/>
      </c>
      <c r="V14" s="11">
        <f>IF($A14="","",IFERROR(H14/I14,0))</f>
        <v/>
      </c>
      <c r="W14" s="13">
        <f>IF($A14="","",IFERROR(J14/N14,0))</f>
        <v/>
      </c>
      <c r="X14" s="11">
        <f>IF($A14="","",IFERROR(K14/L14,0))</f>
        <v/>
      </c>
      <c r="Y14" s="13">
        <f>IF($A14="","",IFERROR(C14-O14,0))</f>
        <v/>
      </c>
      <c r="Z14" s="13">
        <f>IF($A14="","",IFERROR(O14/N14,0))</f>
        <v/>
      </c>
      <c r="AA14" s="11">
        <f>IF($A14="","",IFERROR(M14/G14,0))</f>
        <v/>
      </c>
    </row>
    <row r="15" ht="22" customHeight="1">
      <c r="A15" s="9" t="n">
        <v>46118</v>
      </c>
      <c r="B15" s="10" t="n">
        <v>9632544.286280271</v>
      </c>
      <c r="C15" s="10" t="n">
        <v>9202674.181347802</v>
      </c>
      <c r="D15" s="10" t="n">
        <v>1075091.778559224</v>
      </c>
      <c r="E15" s="10" t="n">
        <v>11382000</v>
      </c>
      <c r="F15" s="10" t="n">
        <v>3935307.54746198</v>
      </c>
      <c r="G15" s="10" t="n">
        <v>45528000</v>
      </c>
      <c r="H15" s="10" t="n">
        <v>467</v>
      </c>
      <c r="I15" s="10" t="n">
        <v>498</v>
      </c>
      <c r="J15" s="10" t="n">
        <v>9202674.181347802</v>
      </c>
      <c r="K15" s="10" t="n">
        <v>9913200.482901042</v>
      </c>
      <c r="L15" s="10" t="n">
        <v>11382000</v>
      </c>
      <c r="M15" s="10" t="n">
        <v>0</v>
      </c>
      <c r="N15" s="10" t="n">
        <v>0</v>
      </c>
      <c r="O15" s="10" t="n">
        <v>0</v>
      </c>
      <c r="P15" s="10" t="n">
        <v>0</v>
      </c>
      <c r="Q15" s="11">
        <f>IF($A15="","",IFERROR(C15/B15,0))</f>
        <v/>
      </c>
      <c r="R15" s="12">
        <f>IF($A15="","",MAX(I15-H15,0))</f>
        <v/>
      </c>
      <c r="S15" s="11">
        <f>IF($A15="","",IFERROR(C15/B15,0))</f>
        <v/>
      </c>
      <c r="T15" s="11">
        <f>IF($A15="","",IFERROR(D15/E15,0))</f>
        <v/>
      </c>
      <c r="U15" s="11">
        <f>IF($A15="","",IFERROR(F15/G15,0))</f>
        <v/>
      </c>
      <c r="V15" s="11">
        <f>IF($A15="","",IFERROR(H15/I15,0))</f>
        <v/>
      </c>
      <c r="W15" s="13">
        <f>IF($A15="","",IFERROR(J15/N15,0))</f>
        <v/>
      </c>
      <c r="X15" s="11">
        <f>IF($A15="","",IFERROR(K15/L15,0))</f>
        <v/>
      </c>
      <c r="Y15" s="13">
        <f>IF($A15="","",IFERROR(C15-O15,0))</f>
        <v/>
      </c>
      <c r="Z15" s="13">
        <f>IF($A15="","",IFERROR(O15/N15,0))</f>
        <v/>
      </c>
      <c r="AA15" s="11">
        <f>IF($A15="","",IFERROR(M15/G15,0))</f>
        <v/>
      </c>
    </row>
    <row r="16" ht="22" customHeight="1">
      <c r="A16" s="9" t="n">
        <v>46125</v>
      </c>
      <c r="B16" s="10" t="n">
        <v>9103926.33342482</v>
      </c>
      <c r="C16" s="10" t="n">
        <v>8616646.015174046</v>
      </c>
      <c r="D16" s="10" t="n">
        <v>1115730.908154582</v>
      </c>
      <c r="E16" s="10" t="n">
        <v>11445000</v>
      </c>
      <c r="F16" s="10" t="n">
        <v>4447271.373086871</v>
      </c>
      <c r="G16" s="10" t="n">
        <v>45780000</v>
      </c>
      <c r="H16" s="10" t="n">
        <v>441</v>
      </c>
      <c r="I16" s="10" t="n">
        <v>501</v>
      </c>
      <c r="J16" s="10" t="n">
        <v>8616646.015174046</v>
      </c>
      <c r="K16" s="10" t="n">
        <v>9314510.844737599</v>
      </c>
      <c r="L16" s="10" t="n">
        <v>11445000</v>
      </c>
      <c r="M16" s="10" t="n">
        <v>0</v>
      </c>
      <c r="N16" s="10" t="n">
        <v>0</v>
      </c>
      <c r="O16" s="10" t="n">
        <v>0</v>
      </c>
      <c r="P16" s="10" t="n">
        <v>0</v>
      </c>
      <c r="Q16" s="11">
        <f>IF($A16="","",IFERROR(C16/B16,0))</f>
        <v/>
      </c>
      <c r="R16" s="12">
        <f>IF($A16="","",MAX(I16-H16,0))</f>
        <v/>
      </c>
      <c r="S16" s="11">
        <f>IF($A16="","",IFERROR(C16/B16,0))</f>
        <v/>
      </c>
      <c r="T16" s="11">
        <f>IF($A16="","",IFERROR(D16/E16,0))</f>
        <v/>
      </c>
      <c r="U16" s="11">
        <f>IF($A16="","",IFERROR(F16/G16,0))</f>
        <v/>
      </c>
      <c r="V16" s="11">
        <f>IF($A16="","",IFERROR(H16/I16,0))</f>
        <v/>
      </c>
      <c r="W16" s="13">
        <f>IF($A16="","",IFERROR(J16/N16,0))</f>
        <v/>
      </c>
      <c r="X16" s="11">
        <f>IF($A16="","",IFERROR(K16/L16,0))</f>
        <v/>
      </c>
      <c r="Y16" s="13">
        <f>IF($A16="","",IFERROR(C16-O16,0))</f>
        <v/>
      </c>
      <c r="Z16" s="13">
        <f>IF($A16="","",IFERROR(O16/N16,0))</f>
        <v/>
      </c>
      <c r="AA16" s="11">
        <f>IF($A16="","",IFERROR(M16/G16,0))</f>
        <v/>
      </c>
    </row>
    <row r="17" ht="22" customHeight="1">
      <c r="A17" s="9" t="n">
        <v>46132</v>
      </c>
      <c r="B17" s="10" t="n">
        <v>9279394.592211435</v>
      </c>
      <c r="C17" s="10" t="n">
        <v>8731120.657833885</v>
      </c>
      <c r="D17" s="10" t="n">
        <v>1084937.572838622</v>
      </c>
      <c r="E17" s="10" t="n">
        <v>11508000</v>
      </c>
      <c r="F17" s="10" t="n">
        <v>3523773.383471438</v>
      </c>
      <c r="G17" s="10" t="n">
        <v>46032000</v>
      </c>
      <c r="H17" s="10" t="n">
        <v>463</v>
      </c>
      <c r="I17" s="10" t="n">
        <v>504</v>
      </c>
      <c r="J17" s="10" t="n">
        <v>8731120.657833885</v>
      </c>
      <c r="K17" s="10" t="n">
        <v>9456228.213822756</v>
      </c>
      <c r="L17" s="10" t="n">
        <v>11508000</v>
      </c>
      <c r="M17" s="10" t="n">
        <v>0</v>
      </c>
      <c r="N17" s="10" t="n">
        <v>0</v>
      </c>
      <c r="O17" s="10" t="n">
        <v>0</v>
      </c>
      <c r="P17" s="10" t="n">
        <v>0</v>
      </c>
      <c r="Q17" s="11">
        <f>IF($A17="","",IFERROR(C17/B17,0))</f>
        <v/>
      </c>
      <c r="R17" s="12">
        <f>IF($A17="","",MAX(I17-H17,0))</f>
        <v/>
      </c>
      <c r="S17" s="11">
        <f>IF($A17="","",IFERROR(C17/B17,0))</f>
        <v/>
      </c>
      <c r="T17" s="11">
        <f>IF($A17="","",IFERROR(D17/E17,0))</f>
        <v/>
      </c>
      <c r="U17" s="11">
        <f>IF($A17="","",IFERROR(F17/G17,0))</f>
        <v/>
      </c>
      <c r="V17" s="11">
        <f>IF($A17="","",IFERROR(H17/I17,0))</f>
        <v/>
      </c>
      <c r="W17" s="13">
        <f>IF($A17="","",IFERROR(J17/N17,0))</f>
        <v/>
      </c>
      <c r="X17" s="11">
        <f>IF($A17="","",IFERROR(K17/L17,0))</f>
        <v/>
      </c>
      <c r="Y17" s="13">
        <f>IF($A17="","",IFERROR(C17-O17,0))</f>
        <v/>
      </c>
      <c r="Z17" s="13">
        <f>IF($A17="","",IFERROR(O17/N17,0))</f>
        <v/>
      </c>
      <c r="AA17" s="11">
        <f>IF($A17="","",IFERROR(M17/G17,0))</f>
        <v/>
      </c>
    </row>
    <row r="18" ht="22" customHeight="1">
      <c r="A18" s="9" t="n">
        <v>46139</v>
      </c>
      <c r="B18" s="10" t="n">
        <v>8982693.295091474</v>
      </c>
      <c r="C18" s="10" t="n">
        <v>8160715.428447081</v>
      </c>
      <c r="D18" s="10" t="n">
        <v>992620.930658351</v>
      </c>
      <c r="E18" s="10" t="n">
        <v>11571000</v>
      </c>
      <c r="F18" s="10" t="n">
        <v>4375431.736864335</v>
      </c>
      <c r="G18" s="10" t="n">
        <v>46284000.00000001</v>
      </c>
      <c r="H18" s="10" t="n">
        <v>453</v>
      </c>
      <c r="I18" s="10" t="n">
        <v>506</v>
      </c>
      <c r="J18" s="10" t="n">
        <v>8160715.428447081</v>
      </c>
      <c r="K18" s="10" t="n">
        <v>8761888.630114632</v>
      </c>
      <c r="L18" s="10" t="n">
        <v>11571000</v>
      </c>
      <c r="M18" s="10" t="n">
        <v>0</v>
      </c>
      <c r="N18" s="10" t="n">
        <v>0</v>
      </c>
      <c r="O18" s="10" t="n">
        <v>0</v>
      </c>
      <c r="P18" s="10" t="n">
        <v>0</v>
      </c>
      <c r="Q18" s="11">
        <f>IF($A18="","",IFERROR(C18/B18,0))</f>
        <v/>
      </c>
      <c r="R18" s="12">
        <f>IF($A18="","",MAX(I18-H18,0))</f>
        <v/>
      </c>
      <c r="S18" s="11">
        <f>IF($A18="","",IFERROR(C18/B18,0))</f>
        <v/>
      </c>
      <c r="T18" s="11">
        <f>IF($A18="","",IFERROR(D18/E18,0))</f>
        <v/>
      </c>
      <c r="U18" s="11">
        <f>IF($A18="","",IFERROR(F18/G18,0))</f>
        <v/>
      </c>
      <c r="V18" s="11">
        <f>IF($A18="","",IFERROR(H18/I18,0))</f>
        <v/>
      </c>
      <c r="W18" s="13">
        <f>IF($A18="","",IFERROR(J18/N18,0))</f>
        <v/>
      </c>
      <c r="X18" s="11">
        <f>IF($A18="","",IFERROR(K18/L18,0))</f>
        <v/>
      </c>
      <c r="Y18" s="13">
        <f>IF($A18="","",IFERROR(C18-O18,0))</f>
        <v/>
      </c>
      <c r="Z18" s="13">
        <f>IF($A18="","",IFERROR(O18/N18,0))</f>
        <v/>
      </c>
      <c r="AA18" s="11">
        <f>IF($A18="","",IFERROR(M18/G18,0))</f>
        <v/>
      </c>
    </row>
    <row r="19" ht="22" customHeight="1">
      <c r="A19" s="9" t="n">
        <v>46146</v>
      </c>
      <c r="B19" s="10" t="n">
        <v>8939665.510947002</v>
      </c>
      <c r="C19" s="10" t="n">
        <v>7954783.29030871</v>
      </c>
      <c r="D19" s="10" t="n">
        <v>704508.168211625</v>
      </c>
      <c r="E19" s="10" t="n">
        <v>11634000</v>
      </c>
      <c r="F19" s="10" t="n">
        <v>2737341.359877469</v>
      </c>
      <c r="G19" s="10" t="n">
        <v>46536000.00000001</v>
      </c>
      <c r="H19" s="10" t="n">
        <v>437</v>
      </c>
      <c r="I19" s="10" t="n">
        <v>509</v>
      </c>
      <c r="J19" s="10" t="n">
        <v>7954783.29030871</v>
      </c>
      <c r="K19" s="10" t="n">
        <v>8380508.277943365</v>
      </c>
      <c r="L19" s="10" t="n">
        <v>11634000</v>
      </c>
      <c r="M19" s="10" t="n">
        <v>0</v>
      </c>
      <c r="N19" s="10" t="n">
        <v>0</v>
      </c>
      <c r="O19" s="10" t="n">
        <v>0</v>
      </c>
      <c r="P19" s="10" t="n">
        <v>0</v>
      </c>
      <c r="Q19" s="11">
        <f>IF($A19="","",IFERROR(C19/B19,0))</f>
        <v/>
      </c>
      <c r="R19" s="12">
        <f>IF($A19="","",MAX(I19-H19,0))</f>
        <v/>
      </c>
      <c r="S19" s="11">
        <f>IF($A19="","",IFERROR(C19/B19,0))</f>
        <v/>
      </c>
      <c r="T19" s="11">
        <f>IF($A19="","",IFERROR(D19/E19,0))</f>
        <v/>
      </c>
      <c r="U19" s="11">
        <f>IF($A19="","",IFERROR(F19/G19,0))</f>
        <v/>
      </c>
      <c r="V19" s="11">
        <f>IF($A19="","",IFERROR(H19/I19,0))</f>
        <v/>
      </c>
      <c r="W19" s="13">
        <f>IF($A19="","",IFERROR(J19/N19,0))</f>
        <v/>
      </c>
      <c r="X19" s="11">
        <f>IF($A19="","",IFERROR(K19/L19,0))</f>
        <v/>
      </c>
      <c r="Y19" s="13">
        <f>IF($A19="","",IFERROR(C19-O19,0))</f>
        <v/>
      </c>
      <c r="Z19" s="13">
        <f>IF($A19="","",IFERROR(O19/N19,0))</f>
        <v/>
      </c>
      <c r="AA19" s="11">
        <f>IF($A19="","",IFERROR(M19/G19,0))</f>
        <v/>
      </c>
    </row>
    <row r="20" ht="22" customHeight="1">
      <c r="A20" s="9" t="n">
        <v>46153</v>
      </c>
      <c r="B20" s="10" t="n">
        <v>9437539.203834945</v>
      </c>
      <c r="C20" s="10" t="n">
        <v>8213465.910463698</v>
      </c>
      <c r="D20" s="10" t="n">
        <v>1017055.493487241</v>
      </c>
      <c r="E20" s="10" t="n">
        <v>11697000</v>
      </c>
      <c r="F20" s="10" t="n">
        <v>3637960.203497875</v>
      </c>
      <c r="G20" s="10" t="n">
        <v>46788000.00000001</v>
      </c>
      <c r="H20" s="10" t="n">
        <v>431</v>
      </c>
      <c r="I20" s="10" t="n">
        <v>512</v>
      </c>
      <c r="J20" s="10" t="n">
        <v>8213465.910463698</v>
      </c>
      <c r="K20" s="10" t="n">
        <v>8752005.945307156</v>
      </c>
      <c r="L20" s="10" t="n">
        <v>11697000</v>
      </c>
      <c r="M20" s="10" t="n">
        <v>0</v>
      </c>
      <c r="N20" s="10" t="n">
        <v>0</v>
      </c>
      <c r="O20" s="10" t="n">
        <v>0</v>
      </c>
      <c r="P20" s="10" t="n">
        <v>0</v>
      </c>
      <c r="Q20" s="11">
        <f>IF($A20="","",IFERROR(C20/B20,0))</f>
        <v/>
      </c>
      <c r="R20" s="12">
        <f>IF($A20="","",MAX(I20-H20,0))</f>
        <v/>
      </c>
      <c r="S20" s="11">
        <f>IF($A20="","",IFERROR(C20/B20,0))</f>
        <v/>
      </c>
      <c r="T20" s="11">
        <f>IF($A20="","",IFERROR(D20/E20,0))</f>
        <v/>
      </c>
      <c r="U20" s="11">
        <f>IF($A20="","",IFERROR(F20/G20,0))</f>
        <v/>
      </c>
      <c r="V20" s="11">
        <f>IF($A20="","",IFERROR(H20/I20,0))</f>
        <v/>
      </c>
      <c r="W20" s="13">
        <f>IF($A20="","",IFERROR(J20/N20,0))</f>
        <v/>
      </c>
      <c r="X20" s="11">
        <f>IF($A20="","",IFERROR(K20/L20,0))</f>
        <v/>
      </c>
      <c r="Y20" s="13">
        <f>IF($A20="","",IFERROR(C20-O20,0))</f>
        <v/>
      </c>
      <c r="Z20" s="13">
        <f>IF($A20="","",IFERROR(O20/N20,0))</f>
        <v/>
      </c>
      <c r="AA20" s="11">
        <f>IF($A20="","",IFERROR(M20/G20,0))</f>
        <v/>
      </c>
    </row>
    <row r="21" ht="22" customHeight="1">
      <c r="A21" s="9" t="n">
        <v>46160</v>
      </c>
      <c r="B21" s="10" t="n">
        <v>9778297.637791932</v>
      </c>
      <c r="C21" s="10" t="n">
        <v>8631427.706468733</v>
      </c>
      <c r="D21" s="10" t="n">
        <v>904943.863423764</v>
      </c>
      <c r="E21" s="10" t="n">
        <v>11760000</v>
      </c>
      <c r="F21" s="10" t="n">
        <v>3881851.241469756</v>
      </c>
      <c r="G21" s="10" t="n">
        <v>47040000.00000001</v>
      </c>
      <c r="H21" s="10" t="n">
        <v>448</v>
      </c>
      <c r="I21" s="10" t="n">
        <v>515</v>
      </c>
      <c r="J21" s="10" t="n">
        <v>8631427.706468733</v>
      </c>
      <c r="K21" s="10" t="n">
        <v>9164922.600934856</v>
      </c>
      <c r="L21" s="10" t="n">
        <v>11760000</v>
      </c>
      <c r="M21" s="10" t="n">
        <v>0</v>
      </c>
      <c r="N21" s="10" t="n">
        <v>0</v>
      </c>
      <c r="O21" s="10" t="n">
        <v>0</v>
      </c>
      <c r="P21" s="10" t="n">
        <v>0</v>
      </c>
      <c r="Q21" s="11">
        <f>IF($A21="","",IFERROR(C21/B21,0))</f>
        <v/>
      </c>
      <c r="R21" s="12">
        <f>IF($A21="","",MAX(I21-H21,0))</f>
        <v/>
      </c>
      <c r="S21" s="11">
        <f>IF($A21="","",IFERROR(C21/B21,0))</f>
        <v/>
      </c>
      <c r="T21" s="11">
        <f>IF($A21="","",IFERROR(D21/E21,0))</f>
        <v/>
      </c>
      <c r="U21" s="11">
        <f>IF($A21="","",IFERROR(F21/G21,0))</f>
        <v/>
      </c>
      <c r="V21" s="11">
        <f>IF($A21="","",IFERROR(H21/I21,0))</f>
        <v/>
      </c>
      <c r="W21" s="13">
        <f>IF($A21="","",IFERROR(J21/N21,0))</f>
        <v/>
      </c>
      <c r="X21" s="11">
        <f>IF($A21="","",IFERROR(K21/L21,0))</f>
        <v/>
      </c>
      <c r="Y21" s="13">
        <f>IF($A21="","",IFERROR(C21-O21,0))</f>
        <v/>
      </c>
      <c r="Z21" s="13">
        <f>IF($A21="","",IFERROR(O21/N21,0))</f>
        <v/>
      </c>
      <c r="AA21" s="11">
        <f>IF($A21="","",IFERROR(M21/G21,0))</f>
        <v/>
      </c>
    </row>
    <row r="22" ht="22" customHeight="1">
      <c r="A22" s="9" t="n">
        <v>46167</v>
      </c>
      <c r="B22" s="10" t="n">
        <v>9624539.138230065</v>
      </c>
      <c r="C22" s="10" t="n">
        <v>8879198.881951202</v>
      </c>
      <c r="D22" s="10" t="n">
        <v>838438.1075125145</v>
      </c>
      <c r="E22" s="10" t="n">
        <v>11823000</v>
      </c>
      <c r="F22" s="10" t="n">
        <v>4127519.53787895</v>
      </c>
      <c r="G22" s="10" t="n">
        <v>47291999.99999999</v>
      </c>
      <c r="H22" s="10" t="n">
        <v>467</v>
      </c>
      <c r="I22" s="10" t="n">
        <v>517</v>
      </c>
      <c r="J22" s="10" t="n">
        <v>8879198.881951202</v>
      </c>
      <c r="K22" s="10" t="n">
        <v>9198421.648679562</v>
      </c>
      <c r="L22" s="10" t="n">
        <v>11823000</v>
      </c>
      <c r="M22" s="10" t="n">
        <v>0</v>
      </c>
      <c r="N22" s="10" t="n">
        <v>0</v>
      </c>
      <c r="O22" s="10" t="n">
        <v>0</v>
      </c>
      <c r="P22" s="10" t="n">
        <v>0</v>
      </c>
      <c r="Q22" s="11">
        <f>IF($A22="","",IFERROR(C22/B22,0))</f>
        <v/>
      </c>
      <c r="R22" s="12">
        <f>IF($A22="","",MAX(I22-H22,0))</f>
        <v/>
      </c>
      <c r="S22" s="11">
        <f>IF($A22="","",IFERROR(C22/B22,0))</f>
        <v/>
      </c>
      <c r="T22" s="11">
        <f>IF($A22="","",IFERROR(D22/E22,0))</f>
        <v/>
      </c>
      <c r="U22" s="11">
        <f>IF($A22="","",IFERROR(F22/G22,0))</f>
        <v/>
      </c>
      <c r="V22" s="11">
        <f>IF($A22="","",IFERROR(H22/I22,0))</f>
        <v/>
      </c>
      <c r="W22" s="13">
        <f>IF($A22="","",IFERROR(J22/N22,0))</f>
        <v/>
      </c>
      <c r="X22" s="11">
        <f>IF($A22="","",IFERROR(K22/L22,0))</f>
        <v/>
      </c>
      <c r="Y22" s="13">
        <f>IF($A22="","",IFERROR(C22-O22,0))</f>
        <v/>
      </c>
      <c r="Z22" s="13">
        <f>IF($A22="","",IFERROR(O22/N22,0))</f>
        <v/>
      </c>
      <c r="AA22" s="11">
        <f>IF($A22="","",IFERROR(M22/G22,0))</f>
        <v/>
      </c>
    </row>
    <row r="23" ht="22" customHeight="1">
      <c r="A23" s="9" t="n">
        <v>46174</v>
      </c>
      <c r="B23" s="10" t="n">
        <v>8910513.078918006</v>
      </c>
      <c r="C23" s="10" t="n">
        <v>7783535.816467889</v>
      </c>
      <c r="D23" s="10" t="n">
        <v>1135051.310572892</v>
      </c>
      <c r="E23" s="10" t="n">
        <v>11886000</v>
      </c>
      <c r="F23" s="10" t="n">
        <v>3931403.74562202</v>
      </c>
      <c r="G23" s="10" t="n">
        <v>47544000.00000001</v>
      </c>
      <c r="H23" s="10" t="n">
        <v>439</v>
      </c>
      <c r="I23" s="10" t="n">
        <v>520</v>
      </c>
      <c r="J23" s="10" t="n">
        <v>7783535.816467889</v>
      </c>
      <c r="K23" s="10" t="n">
        <v>8517758.225103892</v>
      </c>
      <c r="L23" s="10" t="n">
        <v>11886000</v>
      </c>
      <c r="M23" s="10" t="n">
        <v>0</v>
      </c>
      <c r="N23" s="10" t="n">
        <v>0</v>
      </c>
      <c r="O23" s="10" t="n">
        <v>0</v>
      </c>
      <c r="P23" s="10" t="n">
        <v>0</v>
      </c>
      <c r="Q23" s="11">
        <f>IF($A23="","",IFERROR(C23/B23,0))</f>
        <v/>
      </c>
      <c r="R23" s="12">
        <f>IF($A23="","",MAX(I23-H23,0))</f>
        <v/>
      </c>
      <c r="S23" s="11">
        <f>IF($A23="","",IFERROR(C23/B23,0))</f>
        <v/>
      </c>
      <c r="T23" s="11">
        <f>IF($A23="","",IFERROR(D23/E23,0))</f>
        <v/>
      </c>
      <c r="U23" s="11">
        <f>IF($A23="","",IFERROR(F23/G23,0))</f>
        <v/>
      </c>
      <c r="V23" s="11">
        <f>IF($A23="","",IFERROR(H23/I23,0))</f>
        <v/>
      </c>
      <c r="W23" s="13">
        <f>IF($A23="","",IFERROR(J23/N23,0))</f>
        <v/>
      </c>
      <c r="X23" s="11">
        <f>IF($A23="","",IFERROR(K23/L23,0))</f>
        <v/>
      </c>
      <c r="Y23" s="13">
        <f>IF($A23="","",IFERROR(C23-O23,0))</f>
        <v/>
      </c>
      <c r="Z23" s="13">
        <f>IF($A23="","",IFERROR(O23/N23,0))</f>
        <v/>
      </c>
      <c r="AA23" s="11">
        <f>IF($A23="","",IFERROR(M23/G23,0))</f>
        <v/>
      </c>
    </row>
    <row r="24" ht="22" customHeight="1">
      <c r="A24" s="9" t="n">
        <v>46181</v>
      </c>
      <c r="B24" s="10" t="n">
        <v>9734974.917597447</v>
      </c>
      <c r="C24" s="10" t="n">
        <v>8868222.817708332</v>
      </c>
      <c r="D24" s="10" t="n">
        <v>699758.9400212206</v>
      </c>
      <c r="E24" s="10" t="n">
        <v>11949000</v>
      </c>
      <c r="F24" s="10" t="n">
        <v>3014195.724942503</v>
      </c>
      <c r="G24" s="10" t="n">
        <v>47795999.99999999</v>
      </c>
      <c r="H24" s="10" t="n">
        <v>462</v>
      </c>
      <c r="I24" s="10" t="n">
        <v>523</v>
      </c>
      <c r="J24" s="10" t="n">
        <v>8868222.817708332</v>
      </c>
      <c r="K24" s="10" t="n">
        <v>9257478.46449331</v>
      </c>
      <c r="L24" s="10" t="n">
        <v>11949000</v>
      </c>
      <c r="M24" s="10" t="n">
        <v>0</v>
      </c>
      <c r="N24" s="10" t="n">
        <v>0</v>
      </c>
      <c r="O24" s="10" t="n">
        <v>0</v>
      </c>
      <c r="P24" s="10" t="n">
        <v>0</v>
      </c>
      <c r="Q24" s="11">
        <f>IF($A24="","",IFERROR(C24/B24,0))</f>
        <v/>
      </c>
      <c r="R24" s="12">
        <f>IF($A24="","",MAX(I24-H24,0))</f>
        <v/>
      </c>
      <c r="S24" s="11">
        <f>IF($A24="","",IFERROR(C24/B24,0))</f>
        <v/>
      </c>
      <c r="T24" s="11">
        <f>IF($A24="","",IFERROR(D24/E24,0))</f>
        <v/>
      </c>
      <c r="U24" s="11">
        <f>IF($A24="","",IFERROR(F24/G24,0))</f>
        <v/>
      </c>
      <c r="V24" s="11">
        <f>IF($A24="","",IFERROR(H24/I24,0))</f>
        <v/>
      </c>
      <c r="W24" s="13">
        <f>IF($A24="","",IFERROR(J24/N24,0))</f>
        <v/>
      </c>
      <c r="X24" s="11">
        <f>IF($A24="","",IFERROR(K24/L24,0))</f>
        <v/>
      </c>
      <c r="Y24" s="13">
        <f>IF($A24="","",IFERROR(C24-O24,0))</f>
        <v/>
      </c>
      <c r="Z24" s="13">
        <f>IF($A24="","",IFERROR(O24/N24,0))</f>
        <v/>
      </c>
      <c r="AA24" s="11">
        <f>IF($A24="","",IFERROR(M24/G24,0))</f>
        <v/>
      </c>
    </row>
    <row r="25" ht="22" customHeight="1">
      <c r="A25" s="9" t="n">
        <v>46188</v>
      </c>
      <c r="B25" s="10" t="n">
        <v>9795140.32019408</v>
      </c>
      <c r="C25" s="10" t="n">
        <v>8961538.759370668</v>
      </c>
      <c r="D25" s="10" t="n">
        <v>698959.9039122609</v>
      </c>
      <c r="E25" s="10" t="n">
        <v>12012000</v>
      </c>
      <c r="F25" s="10" t="n">
        <v>3234569.417066436</v>
      </c>
      <c r="G25" s="10" t="n">
        <v>48048000.00000001</v>
      </c>
      <c r="H25" s="10" t="n">
        <v>463</v>
      </c>
      <c r="I25" s="10" t="n">
        <v>526</v>
      </c>
      <c r="J25" s="10" t="n">
        <v>8961538.759370668</v>
      </c>
      <c r="K25" s="10" t="n">
        <v>9258002.476275811</v>
      </c>
      <c r="L25" s="10" t="n">
        <v>12012000</v>
      </c>
      <c r="M25" s="10" t="n">
        <v>0</v>
      </c>
      <c r="N25" s="10" t="n">
        <v>0</v>
      </c>
      <c r="O25" s="10" t="n">
        <v>0</v>
      </c>
      <c r="P25" s="10" t="n">
        <v>0</v>
      </c>
      <c r="Q25" s="11">
        <f>IF($A25="","",IFERROR(C25/B25,0))</f>
        <v/>
      </c>
      <c r="R25" s="12">
        <f>IF($A25="","",MAX(I25-H25,0))</f>
        <v/>
      </c>
      <c r="S25" s="11">
        <f>IF($A25="","",IFERROR(C25/B25,0))</f>
        <v/>
      </c>
      <c r="T25" s="11">
        <f>IF($A25="","",IFERROR(D25/E25,0))</f>
        <v/>
      </c>
      <c r="U25" s="11">
        <f>IF($A25="","",IFERROR(F25/G25,0))</f>
        <v/>
      </c>
      <c r="V25" s="11">
        <f>IF($A25="","",IFERROR(H25/I25,0))</f>
        <v/>
      </c>
      <c r="W25" s="13">
        <f>IF($A25="","",IFERROR(J25/N25,0))</f>
        <v/>
      </c>
      <c r="X25" s="11">
        <f>IF($A25="","",IFERROR(K25/L25,0))</f>
        <v/>
      </c>
      <c r="Y25" s="13">
        <f>IF($A25="","",IFERROR(C25-O25,0))</f>
        <v/>
      </c>
      <c r="Z25" s="13">
        <f>IF($A25="","",IFERROR(O25/N25,0))</f>
        <v/>
      </c>
      <c r="AA25" s="11">
        <f>IF($A25="","",IFERROR(M25/G25,0))</f>
        <v/>
      </c>
    </row>
    <row r="26" ht="22" customHeight="1">
      <c r="A26" s="9" t="n">
        <v>46195</v>
      </c>
      <c r="B26" s="10" t="n">
        <v>10095684.66400292</v>
      </c>
      <c r="C26" s="10" t="n">
        <v>9020184.504859526</v>
      </c>
      <c r="D26" s="10" t="n">
        <v>633545.6512195816</v>
      </c>
      <c r="E26" s="10" t="n">
        <v>12075000</v>
      </c>
      <c r="F26" s="10" t="n">
        <v>3468709.020675028</v>
      </c>
      <c r="G26" s="10" t="n">
        <v>48299999.99999999</v>
      </c>
      <c r="H26" s="10" t="n">
        <v>437</v>
      </c>
      <c r="I26" s="10" t="n">
        <v>529</v>
      </c>
      <c r="J26" s="10" t="n">
        <v>9020184.504859526</v>
      </c>
      <c r="K26" s="10" t="n">
        <v>9297369.890525419</v>
      </c>
      <c r="L26" s="10" t="n">
        <v>12075000</v>
      </c>
      <c r="M26" s="10" t="n">
        <v>0</v>
      </c>
      <c r="N26" s="10" t="n">
        <v>0</v>
      </c>
      <c r="O26" s="10" t="n">
        <v>0</v>
      </c>
      <c r="P26" s="10" t="n">
        <v>0</v>
      </c>
      <c r="Q26" s="11">
        <f>IF($A26="","",IFERROR(C26/B26,0))</f>
        <v/>
      </c>
      <c r="R26" s="12">
        <f>IF($A26="","",MAX(I26-H26,0))</f>
        <v/>
      </c>
      <c r="S26" s="11">
        <f>IF($A26="","",IFERROR(C26/B26,0))</f>
        <v/>
      </c>
      <c r="T26" s="11">
        <f>IF($A26="","",IFERROR(D26/E26,0))</f>
        <v/>
      </c>
      <c r="U26" s="11">
        <f>IF($A26="","",IFERROR(F26/G26,0))</f>
        <v/>
      </c>
      <c r="V26" s="11">
        <f>IF($A26="","",IFERROR(H26/I26,0))</f>
        <v/>
      </c>
      <c r="W26" s="13">
        <f>IF($A26="","",IFERROR(J26/N26,0))</f>
        <v/>
      </c>
      <c r="X26" s="11">
        <f>IF($A26="","",IFERROR(K26/L26,0))</f>
        <v/>
      </c>
      <c r="Y26" s="13">
        <f>IF($A26="","",IFERROR(C26-O26,0))</f>
        <v/>
      </c>
      <c r="Z26" s="13">
        <f>IF($A26="","",IFERROR(O26/N26,0))</f>
        <v/>
      </c>
      <c r="AA26" s="11">
        <f>IF($A26="","",IFERROR(M26/G26,0))</f>
        <v/>
      </c>
    </row>
    <row r="27" ht="22" customHeight="1">
      <c r="A27" s="9" t="n">
        <v>46202</v>
      </c>
      <c r="B27" s="10" t="n">
        <v>9949698.496696195</v>
      </c>
      <c r="C27" s="10" t="n">
        <v>8471381.828872975</v>
      </c>
      <c r="D27" s="10" t="n">
        <v>813822.7075429995</v>
      </c>
      <c r="E27" s="10" t="n">
        <v>12138000</v>
      </c>
      <c r="F27" s="10" t="n">
        <v>2729581.120729878</v>
      </c>
      <c r="G27" s="10" t="n">
        <v>48552000</v>
      </c>
      <c r="H27" s="10" t="n">
        <v>436</v>
      </c>
      <c r="I27" s="10" t="n">
        <v>531</v>
      </c>
      <c r="J27" s="10" t="n">
        <v>8471381.828872975</v>
      </c>
      <c r="K27" s="10" t="n">
        <v>8870872.629915942</v>
      </c>
      <c r="L27" s="10" t="n">
        <v>12138000</v>
      </c>
      <c r="M27" s="10" t="n">
        <v>0</v>
      </c>
      <c r="N27" s="10" t="n">
        <v>0</v>
      </c>
      <c r="O27" s="10" t="n">
        <v>0</v>
      </c>
      <c r="P27" s="10" t="n">
        <v>0</v>
      </c>
      <c r="Q27" s="11">
        <f>IF($A27="","",IFERROR(C27/B27,0))</f>
        <v/>
      </c>
      <c r="R27" s="12">
        <f>IF($A27="","",MAX(I27-H27,0))</f>
        <v/>
      </c>
      <c r="S27" s="11">
        <f>IF($A27="","",IFERROR(C27/B27,0))</f>
        <v/>
      </c>
      <c r="T27" s="11">
        <f>IF($A27="","",IFERROR(D27/E27,0))</f>
        <v/>
      </c>
      <c r="U27" s="11">
        <f>IF($A27="","",IFERROR(F27/G27,0))</f>
        <v/>
      </c>
      <c r="V27" s="11">
        <f>IF($A27="","",IFERROR(H27/I27,0))</f>
        <v/>
      </c>
      <c r="W27" s="13">
        <f>IF($A27="","",IFERROR(J27/N27,0))</f>
        <v/>
      </c>
      <c r="X27" s="11">
        <f>IF($A27="","",IFERROR(K27/L27,0))</f>
        <v/>
      </c>
      <c r="Y27" s="13">
        <f>IF($A27="","",IFERROR(C27-O27,0))</f>
        <v/>
      </c>
      <c r="Z27" s="13">
        <f>IF($A27="","",IFERROR(O27/N27,0))</f>
        <v/>
      </c>
      <c r="AA27" s="11">
        <f>IF($A27="","",IFERROR(M27/G27,0))</f>
        <v/>
      </c>
    </row>
    <row r="28" ht="22" customHeight="1">
      <c r="A28" s="9" t="n">
        <v>46209</v>
      </c>
      <c r="B28" s="10" t="n">
        <v>9990072.710415984</v>
      </c>
      <c r="C28" s="10" t="n">
        <v>8490772.536423683</v>
      </c>
      <c r="D28" s="10" t="n">
        <v>526125.7358141684</v>
      </c>
      <c r="E28" s="10" t="n">
        <v>12201000</v>
      </c>
      <c r="F28" s="10" t="n">
        <v>3723301.667282929</v>
      </c>
      <c r="G28" s="10" t="n">
        <v>48804000</v>
      </c>
      <c r="H28" s="10" t="n">
        <v>433</v>
      </c>
      <c r="I28" s="10" t="n">
        <v>534</v>
      </c>
      <c r="J28" s="10" t="n">
        <v>8490772.536423683</v>
      </c>
      <c r="K28" s="10" t="n">
        <v>8861278.065485012</v>
      </c>
      <c r="L28" s="10" t="n">
        <v>12201000</v>
      </c>
      <c r="M28" s="10" t="n">
        <v>0</v>
      </c>
      <c r="N28" s="10" t="n">
        <v>0</v>
      </c>
      <c r="O28" s="10" t="n">
        <v>0</v>
      </c>
      <c r="P28" s="10" t="n">
        <v>0</v>
      </c>
      <c r="Q28" s="11">
        <f>IF($A28="","",IFERROR(C28/B28,0))</f>
        <v/>
      </c>
      <c r="R28" s="12">
        <f>IF($A28="","",MAX(I28-H28,0))</f>
        <v/>
      </c>
      <c r="S28" s="11">
        <f>IF($A28="","",IFERROR(C28/B28,0))</f>
        <v/>
      </c>
      <c r="T28" s="11">
        <f>IF($A28="","",IFERROR(D28/E28,0))</f>
        <v/>
      </c>
      <c r="U28" s="11">
        <f>IF($A28="","",IFERROR(F28/G28,0))</f>
        <v/>
      </c>
      <c r="V28" s="11">
        <f>IF($A28="","",IFERROR(H28/I28,0))</f>
        <v/>
      </c>
      <c r="W28" s="13">
        <f>IF($A28="","",IFERROR(J28/N28,0))</f>
        <v/>
      </c>
      <c r="X28" s="11">
        <f>IF($A28="","",IFERROR(K28/L28,0))</f>
        <v/>
      </c>
      <c r="Y28" s="13">
        <f>IF($A28="","",IFERROR(C28-O28,0))</f>
        <v/>
      </c>
      <c r="Z28" s="13">
        <f>IF($A28="","",IFERROR(O28/N28,0))</f>
        <v/>
      </c>
      <c r="AA28" s="11">
        <f>IF($A28="","",IFERROR(M28/G28,0))</f>
        <v/>
      </c>
    </row>
    <row r="29" ht="22" customHeight="1">
      <c r="A29" s="9" t="n">
        <v>46216</v>
      </c>
      <c r="B29" s="10" t="n">
        <v>9967453.768714553</v>
      </c>
      <c r="C29" s="10" t="n">
        <v>8490800.523213034</v>
      </c>
      <c r="D29" s="10" t="n">
        <v>817400.5463751503</v>
      </c>
      <c r="E29" s="10" t="n">
        <v>12264000</v>
      </c>
      <c r="F29" s="10" t="n">
        <v>2647876.873617163</v>
      </c>
      <c r="G29" s="10" t="n">
        <v>49056000</v>
      </c>
      <c r="H29" s="10" t="n">
        <v>466</v>
      </c>
      <c r="I29" s="10" t="n">
        <v>537</v>
      </c>
      <c r="J29" s="10" t="n">
        <v>8490800.523213034</v>
      </c>
      <c r="K29" s="10" t="n">
        <v>8826545.617510313</v>
      </c>
      <c r="L29" s="10" t="n">
        <v>12264000</v>
      </c>
      <c r="M29" s="10" t="n">
        <v>0</v>
      </c>
      <c r="N29" s="10" t="n">
        <v>0</v>
      </c>
      <c r="O29" s="10" t="n">
        <v>0</v>
      </c>
      <c r="P29" s="10" t="n">
        <v>0</v>
      </c>
      <c r="Q29" s="11">
        <f>IF($A29="","",IFERROR(C29/B29,0))</f>
        <v/>
      </c>
      <c r="R29" s="12">
        <f>IF($A29="","",MAX(I29-H29,0))</f>
        <v/>
      </c>
      <c r="S29" s="11">
        <f>IF($A29="","",IFERROR(C29/B29,0))</f>
        <v/>
      </c>
      <c r="T29" s="11">
        <f>IF($A29="","",IFERROR(D29/E29,0))</f>
        <v/>
      </c>
      <c r="U29" s="11">
        <f>IF($A29="","",IFERROR(F29/G29,0))</f>
        <v/>
      </c>
      <c r="V29" s="11">
        <f>IF($A29="","",IFERROR(H29/I29,0))</f>
        <v/>
      </c>
      <c r="W29" s="13">
        <f>IF($A29="","",IFERROR(J29/N29,0))</f>
        <v/>
      </c>
      <c r="X29" s="11">
        <f>IF($A29="","",IFERROR(K29/L29,0))</f>
        <v/>
      </c>
      <c r="Y29" s="13">
        <f>IF($A29="","",IFERROR(C29-O29,0))</f>
        <v/>
      </c>
      <c r="Z29" s="13">
        <f>IF($A29="","",IFERROR(O29/N29,0))</f>
        <v/>
      </c>
      <c r="AA29" s="11">
        <f>IF($A29="","",IFERROR(M29/G29,0))</f>
        <v/>
      </c>
    </row>
    <row r="30" ht="22" customHeight="1">
      <c r="A30" s="9" t="n">
        <v>46223</v>
      </c>
      <c r="B30" s="10" t="n">
        <v>9807670.042231243</v>
      </c>
      <c r="C30" s="10" t="n">
        <v>8166962.657427312</v>
      </c>
      <c r="D30" s="10" t="n">
        <v>629733.8074524327</v>
      </c>
      <c r="E30" s="10" t="n">
        <v>12327000</v>
      </c>
      <c r="F30" s="10" t="n">
        <v>2779651.190793629</v>
      </c>
      <c r="G30" s="10" t="n">
        <v>49308000</v>
      </c>
      <c r="H30" s="10" t="n">
        <v>466</v>
      </c>
      <c r="I30" s="10" t="n">
        <v>540</v>
      </c>
      <c r="J30" s="10" t="n">
        <v>8166962.657427312</v>
      </c>
      <c r="K30" s="10" t="n">
        <v>8522841.717133354</v>
      </c>
      <c r="L30" s="10" t="n">
        <v>12327000</v>
      </c>
      <c r="M30" s="10" t="n">
        <v>0</v>
      </c>
      <c r="N30" s="10" t="n">
        <v>0</v>
      </c>
      <c r="O30" s="10" t="n">
        <v>0</v>
      </c>
      <c r="P30" s="10" t="n">
        <v>0</v>
      </c>
      <c r="Q30" s="11">
        <f>IF($A30="","",IFERROR(C30/B30,0))</f>
        <v/>
      </c>
      <c r="R30" s="12">
        <f>IF($A30="","",MAX(I30-H30,0))</f>
        <v/>
      </c>
      <c r="S30" s="11">
        <f>IF($A30="","",IFERROR(C30/B30,0))</f>
        <v/>
      </c>
      <c r="T30" s="11">
        <f>IF($A30="","",IFERROR(D30/E30,0))</f>
        <v/>
      </c>
      <c r="U30" s="11">
        <f>IF($A30="","",IFERROR(F30/G30,0))</f>
        <v/>
      </c>
      <c r="V30" s="11">
        <f>IF($A30="","",IFERROR(H30/I30,0))</f>
        <v/>
      </c>
      <c r="W30" s="13">
        <f>IF($A30="","",IFERROR(J30/N30,0))</f>
        <v/>
      </c>
      <c r="X30" s="11">
        <f>IF($A30="","",IFERROR(K30/L30,0))</f>
        <v/>
      </c>
      <c r="Y30" s="13">
        <f>IF($A30="","",IFERROR(C30-O30,0))</f>
        <v/>
      </c>
      <c r="Z30" s="13">
        <f>IF($A30="","",IFERROR(O30/N30,0))</f>
        <v/>
      </c>
      <c r="AA30" s="11">
        <f>IF($A30="","",IFERROR(M30/G30,0))</f>
        <v/>
      </c>
    </row>
    <row r="31" ht="22" customHeight="1">
      <c r="A31" s="9" t="n">
        <v>46230</v>
      </c>
      <c r="B31" s="10" t="n">
        <v>9473114.557027325</v>
      </c>
      <c r="C31" s="10" t="n">
        <v>7974632.466748667</v>
      </c>
      <c r="D31" s="10" t="n">
        <v>332935.2465194985</v>
      </c>
      <c r="E31" s="10" t="n">
        <v>12390000</v>
      </c>
      <c r="F31" s="10" t="n">
        <v>2275639.851460745</v>
      </c>
      <c r="G31" s="10" t="n">
        <v>49560000</v>
      </c>
      <c r="H31" s="10" t="n">
        <v>459</v>
      </c>
      <c r="I31" s="10" t="n">
        <v>542</v>
      </c>
      <c r="J31" s="10" t="n">
        <v>7974632.466748667</v>
      </c>
      <c r="K31" s="10" t="n">
        <v>8148805.809319501</v>
      </c>
      <c r="L31" s="10" t="n">
        <v>12390000</v>
      </c>
      <c r="M31" s="10" t="n">
        <v>0</v>
      </c>
      <c r="N31" s="10" t="n">
        <v>0</v>
      </c>
      <c r="O31" s="10" t="n">
        <v>0</v>
      </c>
      <c r="P31" s="10" t="n">
        <v>0</v>
      </c>
      <c r="Q31" s="11">
        <f>IF($A31="","",IFERROR(C31/B31,0))</f>
        <v/>
      </c>
      <c r="R31" s="12">
        <f>IF($A31="","",MAX(I31-H31,0))</f>
        <v/>
      </c>
      <c r="S31" s="11">
        <f>IF($A31="","",IFERROR(C31/B31,0))</f>
        <v/>
      </c>
      <c r="T31" s="11">
        <f>IF($A31="","",IFERROR(D31/E31,0))</f>
        <v/>
      </c>
      <c r="U31" s="11">
        <f>IF($A31="","",IFERROR(F31/G31,0))</f>
        <v/>
      </c>
      <c r="V31" s="11">
        <f>IF($A31="","",IFERROR(H31/I31,0))</f>
        <v/>
      </c>
      <c r="W31" s="13">
        <f>IF($A31="","",IFERROR(J31/N31,0))</f>
        <v/>
      </c>
      <c r="X31" s="11">
        <f>IF($A31="","",IFERROR(K31/L31,0))</f>
        <v/>
      </c>
      <c r="Y31" s="13">
        <f>IF($A31="","",IFERROR(C31-O31,0))</f>
        <v/>
      </c>
      <c r="Z31" s="13">
        <f>IF($A31="","",IFERROR(O31/N31,0))</f>
        <v/>
      </c>
      <c r="AA31" s="11">
        <f>IF($A31="","",IFERROR(M31/G31,0))</f>
        <v/>
      </c>
    </row>
    <row r="32" ht="22" customHeight="1">
      <c r="A32" s="9" t="n">
        <v>46237</v>
      </c>
      <c r="B32" s="10" t="n">
        <v>10057917.0551384</v>
      </c>
      <c r="C32" s="10" t="n">
        <v>8939069.18039068</v>
      </c>
      <c r="D32" s="10" t="n">
        <v>186795</v>
      </c>
      <c r="E32" s="10" t="n">
        <v>12453000</v>
      </c>
      <c r="F32" s="10" t="n">
        <v>1325089.657655198</v>
      </c>
      <c r="G32" s="10" t="n">
        <v>49812000</v>
      </c>
      <c r="H32" s="10" t="n">
        <v>464</v>
      </c>
      <c r="I32" s="10" t="n">
        <v>545</v>
      </c>
      <c r="J32" s="10" t="n">
        <v>8939069.18039068</v>
      </c>
      <c r="K32" s="10" t="n">
        <v>9015731.761255287</v>
      </c>
      <c r="L32" s="10" t="n">
        <v>12453000</v>
      </c>
      <c r="M32" s="10" t="n">
        <v>0</v>
      </c>
      <c r="N32" s="10" t="n">
        <v>0</v>
      </c>
      <c r="O32" s="10" t="n">
        <v>0</v>
      </c>
      <c r="P32" s="10" t="n">
        <v>0</v>
      </c>
      <c r="Q32" s="11">
        <f>IF($A32="","",IFERROR(C32/B32,0))</f>
        <v/>
      </c>
      <c r="R32" s="12">
        <f>IF($A32="","",MAX(I32-H32,0))</f>
        <v/>
      </c>
      <c r="S32" s="11">
        <f>IF($A32="","",IFERROR(C32/B32,0))</f>
        <v/>
      </c>
      <c r="T32" s="11">
        <f>IF($A32="","",IFERROR(D32/E32,0))</f>
        <v/>
      </c>
      <c r="U32" s="11">
        <f>IF($A32="","",IFERROR(F32/G32,0))</f>
        <v/>
      </c>
      <c r="V32" s="11">
        <f>IF($A32="","",IFERROR(H32/I32,0))</f>
        <v/>
      </c>
      <c r="W32" s="13">
        <f>IF($A32="","",IFERROR(J32/N32,0))</f>
        <v/>
      </c>
      <c r="X32" s="11">
        <f>IF($A32="","",IFERROR(K32/L32,0))</f>
        <v/>
      </c>
      <c r="Y32" s="13">
        <f>IF($A32="","",IFERROR(C32-O32,0))</f>
        <v/>
      </c>
      <c r="Z32" s="13">
        <f>IF($A32="","",IFERROR(O32/N32,0))</f>
        <v/>
      </c>
      <c r="AA32" s="11">
        <f>IF($A32="","",IFERROR(M32/G32,0))</f>
        <v/>
      </c>
    </row>
    <row r="33" ht="22" customHeight="1">
      <c r="A33" s="9" t="n">
        <v>46244</v>
      </c>
      <c r="B33" s="10" t="n">
        <v>10155768.35704173</v>
      </c>
      <c r="C33" s="10" t="n">
        <v>9027270.885469878</v>
      </c>
      <c r="D33" s="10" t="n">
        <v>674200.1155752337</v>
      </c>
      <c r="E33" s="10" t="n">
        <v>12516000</v>
      </c>
      <c r="F33" s="10" t="n">
        <v>2358872.906063582</v>
      </c>
      <c r="G33" s="10" t="n">
        <v>50064000</v>
      </c>
      <c r="H33" s="10" t="n">
        <v>473</v>
      </c>
      <c r="I33" s="10" t="n">
        <v>548</v>
      </c>
      <c r="J33" s="10" t="n">
        <v>9027270.885469878</v>
      </c>
      <c r="K33" s="10" t="n">
        <v>9431252.362572001</v>
      </c>
      <c r="L33" s="10" t="n">
        <v>12516000</v>
      </c>
      <c r="M33" s="10" t="n">
        <v>0</v>
      </c>
      <c r="N33" s="10" t="n">
        <v>0</v>
      </c>
      <c r="O33" s="10" t="n">
        <v>0</v>
      </c>
      <c r="P33" s="10" t="n">
        <v>0</v>
      </c>
      <c r="Q33" s="11">
        <f>IF($A33="","",IFERROR(C33/B33,0))</f>
        <v/>
      </c>
      <c r="R33" s="12">
        <f>IF($A33="","",MAX(I33-H33,0))</f>
        <v/>
      </c>
      <c r="S33" s="11">
        <f>IF($A33="","",IFERROR(C33/B33,0))</f>
        <v/>
      </c>
      <c r="T33" s="11">
        <f>IF($A33="","",IFERROR(D33/E33,0))</f>
        <v/>
      </c>
      <c r="U33" s="11">
        <f>IF($A33="","",IFERROR(F33/G33,0))</f>
        <v/>
      </c>
      <c r="V33" s="11">
        <f>IF($A33="","",IFERROR(H33/I33,0))</f>
        <v/>
      </c>
      <c r="W33" s="13">
        <f>IF($A33="","",IFERROR(J33/N33,0))</f>
        <v/>
      </c>
      <c r="X33" s="11">
        <f>IF($A33="","",IFERROR(K33/L33,0))</f>
        <v/>
      </c>
      <c r="Y33" s="13">
        <f>IF($A33="","",IFERROR(C33-O33,0))</f>
        <v/>
      </c>
      <c r="Z33" s="13">
        <f>IF($A33="","",IFERROR(O33/N33,0))</f>
        <v/>
      </c>
      <c r="AA33" s="11">
        <f>IF($A33="","",IFERROR(M33/G33,0))</f>
        <v/>
      </c>
    </row>
    <row r="34" ht="22" customHeight="1">
      <c r="A34" s="9" t="n">
        <v>46251</v>
      </c>
      <c r="B34" s="10" t="n">
        <v>9875838.170166396</v>
      </c>
      <c r="C34" s="10" t="n">
        <v>8987418.955004772</v>
      </c>
      <c r="D34" s="10" t="n">
        <v>638714.1802372675</v>
      </c>
      <c r="E34" s="10" t="n">
        <v>12579000</v>
      </c>
      <c r="F34" s="10" t="n">
        <v>2705287.565506698</v>
      </c>
      <c r="G34" s="10" t="n">
        <v>50316000</v>
      </c>
      <c r="H34" s="10" t="n">
        <v>494</v>
      </c>
      <c r="I34" s="10" t="n">
        <v>551</v>
      </c>
      <c r="J34" s="10" t="n">
        <v>8987418.955004772</v>
      </c>
      <c r="K34" s="10" t="n">
        <v>9334583.738159869</v>
      </c>
      <c r="L34" s="10" t="n">
        <v>12579000</v>
      </c>
      <c r="M34" s="10" t="n">
        <v>0</v>
      </c>
      <c r="N34" s="10" t="n">
        <v>0</v>
      </c>
      <c r="O34" s="10" t="n">
        <v>0</v>
      </c>
      <c r="P34" s="10" t="n">
        <v>0</v>
      </c>
      <c r="Q34" s="11">
        <f>IF($A34="","",IFERROR(C34/B34,0))</f>
        <v/>
      </c>
      <c r="R34" s="12">
        <f>IF($A34="","",MAX(I34-H34,0))</f>
        <v/>
      </c>
      <c r="S34" s="11">
        <f>IF($A34="","",IFERROR(C34/B34,0))</f>
        <v/>
      </c>
      <c r="T34" s="11">
        <f>IF($A34="","",IFERROR(D34/E34,0))</f>
        <v/>
      </c>
      <c r="U34" s="11">
        <f>IF($A34="","",IFERROR(F34/G34,0))</f>
        <v/>
      </c>
      <c r="V34" s="11">
        <f>IF($A34="","",IFERROR(H34/I34,0))</f>
        <v/>
      </c>
      <c r="W34" s="13">
        <f>IF($A34="","",IFERROR(J34/N34,0))</f>
        <v/>
      </c>
      <c r="X34" s="11">
        <f>IF($A34="","",IFERROR(K34/L34,0))</f>
        <v/>
      </c>
      <c r="Y34" s="13">
        <f>IF($A34="","",IFERROR(C34-O34,0))</f>
        <v/>
      </c>
      <c r="Z34" s="13">
        <f>IF($A34="","",IFERROR(O34/N34,0))</f>
        <v/>
      </c>
      <c r="AA34" s="11">
        <f>IF($A34="","",IFERROR(M34/G34,0))</f>
        <v/>
      </c>
    </row>
    <row r="35" ht="22" customHeight="1">
      <c r="A35" s="9" t="n">
        <v>46258</v>
      </c>
      <c r="B35" s="10" t="n">
        <v>10356693.23549141</v>
      </c>
      <c r="C35" s="10" t="n">
        <v>9210276.12253803</v>
      </c>
      <c r="D35" s="10" t="n">
        <v>189630</v>
      </c>
      <c r="E35" s="10" t="n">
        <v>12642000</v>
      </c>
      <c r="F35" s="10" t="n">
        <v>1655252.057468747</v>
      </c>
      <c r="G35" s="10" t="n">
        <v>50568000</v>
      </c>
      <c r="H35" s="10" t="n">
        <v>493</v>
      </c>
      <c r="I35" s="10" t="n">
        <v>553</v>
      </c>
      <c r="J35" s="10" t="n">
        <v>9210276.12253803</v>
      </c>
      <c r="K35" s="10" t="n">
        <v>9309610.638872175</v>
      </c>
      <c r="L35" s="10" t="n">
        <v>12642000</v>
      </c>
      <c r="M35" s="10" t="n">
        <v>0</v>
      </c>
      <c r="N35" s="10" t="n">
        <v>0</v>
      </c>
      <c r="O35" s="10" t="n">
        <v>0</v>
      </c>
      <c r="P35" s="10" t="n">
        <v>0</v>
      </c>
      <c r="Q35" s="11">
        <f>IF($A35="","",IFERROR(C35/B35,0))</f>
        <v/>
      </c>
      <c r="R35" s="12">
        <f>IF($A35="","",MAX(I35-H35,0))</f>
        <v/>
      </c>
      <c r="S35" s="11">
        <f>IF($A35="","",IFERROR(C35/B35,0))</f>
        <v/>
      </c>
      <c r="T35" s="11">
        <f>IF($A35="","",IFERROR(D35/E35,0))</f>
        <v/>
      </c>
      <c r="U35" s="11">
        <f>IF($A35="","",IFERROR(F35/G35,0))</f>
        <v/>
      </c>
      <c r="V35" s="11">
        <f>IF($A35="","",IFERROR(H35/I35,0))</f>
        <v/>
      </c>
      <c r="W35" s="13">
        <f>IF($A35="","",IFERROR(J35/N35,0))</f>
        <v/>
      </c>
      <c r="X35" s="11">
        <f>IF($A35="","",IFERROR(K35/L35,0))</f>
        <v/>
      </c>
      <c r="Y35" s="13">
        <f>IF($A35="","",IFERROR(C35-O35,0))</f>
        <v/>
      </c>
      <c r="Z35" s="13">
        <f>IF($A35="","",IFERROR(O35/N35,0))</f>
        <v/>
      </c>
      <c r="AA35" s="11">
        <f>IF($A35="","",IFERROR(M35/G35,0))</f>
        <v/>
      </c>
    </row>
    <row r="36" ht="22" customHeight="1">
      <c r="A36" s="9" t="n">
        <v>46265</v>
      </c>
      <c r="B36" s="10" t="n">
        <v>10188521.78076899</v>
      </c>
      <c r="C36" s="10" t="n">
        <v>9102268.253841382</v>
      </c>
      <c r="D36" s="10" t="n">
        <v>380766.0867285228</v>
      </c>
      <c r="E36" s="10" t="n">
        <v>12705000</v>
      </c>
      <c r="F36" s="10" t="n">
        <v>891323.0109385364</v>
      </c>
      <c r="G36" s="10" t="n">
        <v>50820000</v>
      </c>
      <c r="H36" s="10" t="n">
        <v>481</v>
      </c>
      <c r="I36" s="10" t="n">
        <v>556</v>
      </c>
      <c r="J36" s="10" t="n">
        <v>9102268.253841382</v>
      </c>
      <c r="K36" s="10" t="n">
        <v>9284947.883950571</v>
      </c>
      <c r="L36" s="10" t="n">
        <v>12705000</v>
      </c>
      <c r="M36" s="10" t="n">
        <v>0</v>
      </c>
      <c r="N36" s="10" t="n">
        <v>0</v>
      </c>
      <c r="O36" s="10" t="n">
        <v>0</v>
      </c>
      <c r="P36" s="10" t="n">
        <v>0</v>
      </c>
      <c r="Q36" s="11">
        <f>IF($A36="","",IFERROR(C36/B36,0))</f>
        <v/>
      </c>
      <c r="R36" s="12">
        <f>IF($A36="","",MAX(I36-H36,0))</f>
        <v/>
      </c>
      <c r="S36" s="11">
        <f>IF($A36="","",IFERROR(C36/B36,0))</f>
        <v/>
      </c>
      <c r="T36" s="11">
        <f>IF($A36="","",IFERROR(D36/E36,0))</f>
        <v/>
      </c>
      <c r="U36" s="11">
        <f>IF($A36="","",IFERROR(F36/G36,0))</f>
        <v/>
      </c>
      <c r="V36" s="11">
        <f>IF($A36="","",IFERROR(H36/I36,0))</f>
        <v/>
      </c>
      <c r="W36" s="13">
        <f>IF($A36="","",IFERROR(J36/N36,0))</f>
        <v/>
      </c>
      <c r="X36" s="11">
        <f>IF($A36="","",IFERROR(K36/L36,0))</f>
        <v/>
      </c>
      <c r="Y36" s="13">
        <f>IF($A36="","",IFERROR(C36-O36,0))</f>
        <v/>
      </c>
      <c r="Z36" s="13">
        <f>IF($A36="","",IFERROR(O36/N36,0))</f>
        <v/>
      </c>
      <c r="AA36" s="11">
        <f>IF($A36="","",IFERROR(M36/G36,0))</f>
        <v/>
      </c>
    </row>
    <row r="37" ht="22" customHeight="1">
      <c r="A37" s="9" t="n">
        <v>46272</v>
      </c>
      <c r="B37" s="10" t="n">
        <v>10793214.45137547</v>
      </c>
      <c r="C37" s="10" t="n">
        <v>9679099.256552644</v>
      </c>
      <c r="D37" s="10" t="n">
        <v>596500.3880765941</v>
      </c>
      <c r="E37" s="10" t="n">
        <v>12768000</v>
      </c>
      <c r="F37" s="10" t="n">
        <v>1398981.019965935</v>
      </c>
      <c r="G37" s="10" t="n">
        <v>51072000</v>
      </c>
      <c r="H37" s="10" t="n">
        <v>492</v>
      </c>
      <c r="I37" s="10" t="n">
        <v>559</v>
      </c>
      <c r="J37" s="10" t="n">
        <v>9679099.256552644</v>
      </c>
      <c r="K37" s="10" t="n">
        <v>9908777.343949979</v>
      </c>
      <c r="L37" s="10" t="n">
        <v>12768000</v>
      </c>
      <c r="M37" s="10" t="n">
        <v>0</v>
      </c>
      <c r="N37" s="10" t="n">
        <v>0</v>
      </c>
      <c r="O37" s="10" t="n">
        <v>0</v>
      </c>
      <c r="P37" s="10" t="n">
        <v>0</v>
      </c>
      <c r="Q37" s="11">
        <f>IF($A37="","",IFERROR(C37/B37,0))</f>
        <v/>
      </c>
      <c r="R37" s="12">
        <f>IF($A37="","",MAX(I37-H37,0))</f>
        <v/>
      </c>
      <c r="S37" s="11">
        <f>IF($A37="","",IFERROR(C37/B37,0))</f>
        <v/>
      </c>
      <c r="T37" s="11">
        <f>IF($A37="","",IFERROR(D37/E37,0))</f>
        <v/>
      </c>
      <c r="U37" s="11">
        <f>IF($A37="","",IFERROR(F37/G37,0))</f>
        <v/>
      </c>
      <c r="V37" s="11">
        <f>IF($A37="","",IFERROR(H37/I37,0))</f>
        <v/>
      </c>
      <c r="W37" s="13">
        <f>IF($A37="","",IFERROR(J37/N37,0))</f>
        <v/>
      </c>
      <c r="X37" s="11">
        <f>IF($A37="","",IFERROR(K37/L37,0))</f>
        <v/>
      </c>
      <c r="Y37" s="13">
        <f>IF($A37="","",IFERROR(C37-O37,0))</f>
        <v/>
      </c>
      <c r="Z37" s="13">
        <f>IF($A37="","",IFERROR(O37/N37,0))</f>
        <v/>
      </c>
      <c r="AA37" s="11">
        <f>IF($A37="","",IFERROR(M37/G37,0))</f>
        <v/>
      </c>
    </row>
    <row r="38" ht="22" customHeight="1">
      <c r="A38" s="9" t="n">
        <v>46279</v>
      </c>
      <c r="B38" s="10" t="n">
        <v>10220558.52050265</v>
      </c>
      <c r="C38" s="10" t="n">
        <v>9419664.422174625</v>
      </c>
      <c r="D38" s="10" t="n">
        <v>192465</v>
      </c>
      <c r="E38" s="10" t="n">
        <v>12831000</v>
      </c>
      <c r="F38" s="10" t="n">
        <v>1090902.189955811</v>
      </c>
      <c r="G38" s="10" t="n">
        <v>51324000</v>
      </c>
      <c r="H38" s="10" t="n">
        <v>501</v>
      </c>
      <c r="I38" s="10" t="n">
        <v>562</v>
      </c>
      <c r="J38" s="10" t="n">
        <v>9419664.422174625</v>
      </c>
      <c r="K38" s="10" t="n">
        <v>9506487.617794218</v>
      </c>
      <c r="L38" s="10" t="n">
        <v>12831000</v>
      </c>
      <c r="M38" s="10" t="n">
        <v>0</v>
      </c>
      <c r="N38" s="10" t="n">
        <v>0</v>
      </c>
      <c r="O38" s="10" t="n">
        <v>0</v>
      </c>
      <c r="P38" s="10" t="n">
        <v>0</v>
      </c>
      <c r="Q38" s="11">
        <f>IF($A38="","",IFERROR(C38/B38,0))</f>
        <v/>
      </c>
      <c r="R38" s="12">
        <f>IF($A38="","",MAX(I38-H38,0))</f>
        <v/>
      </c>
      <c r="S38" s="11">
        <f>IF($A38="","",IFERROR(C38/B38,0))</f>
        <v/>
      </c>
      <c r="T38" s="11">
        <f>IF($A38="","",IFERROR(D38/E38,0))</f>
        <v/>
      </c>
      <c r="U38" s="11">
        <f>IF($A38="","",IFERROR(F38/G38,0))</f>
        <v/>
      </c>
      <c r="V38" s="11">
        <f>IF($A38="","",IFERROR(H38/I38,0))</f>
        <v/>
      </c>
      <c r="W38" s="13">
        <f>IF($A38="","",IFERROR(J38/N38,0))</f>
        <v/>
      </c>
      <c r="X38" s="11">
        <f>IF($A38="","",IFERROR(K38/L38,0))</f>
        <v/>
      </c>
      <c r="Y38" s="13">
        <f>IF($A38="","",IFERROR(C38-O38,0))</f>
        <v/>
      </c>
      <c r="Z38" s="13">
        <f>IF($A38="","",IFERROR(O38/N38,0))</f>
        <v/>
      </c>
      <c r="AA38" s="11">
        <f>IF($A38="","",IFERROR(M38/G38,0))</f>
        <v/>
      </c>
    </row>
    <row r="39" ht="22" customHeight="1">
      <c r="A39" s="9" t="n">
        <v>46286</v>
      </c>
      <c r="B39" s="10" t="n">
        <v>9837592.037401684</v>
      </c>
      <c r="C39" s="10" t="n">
        <v>8624838.288742205</v>
      </c>
      <c r="D39" s="10" t="n">
        <v>193729.457323763</v>
      </c>
      <c r="E39" s="10" t="n">
        <v>12894000</v>
      </c>
      <c r="F39" s="10" t="n">
        <v>898884.608114541</v>
      </c>
      <c r="G39" s="10" t="n">
        <v>51576000</v>
      </c>
      <c r="H39" s="10" t="n">
        <v>480</v>
      </c>
      <c r="I39" s="10" t="n">
        <v>564</v>
      </c>
      <c r="J39" s="10" t="n">
        <v>8624838.288742205</v>
      </c>
      <c r="K39" s="10" t="n">
        <v>8725958.378711224</v>
      </c>
      <c r="L39" s="10" t="n">
        <v>12894000</v>
      </c>
      <c r="M39" s="10" t="n">
        <v>0</v>
      </c>
      <c r="N39" s="10" t="n">
        <v>0</v>
      </c>
      <c r="O39" s="10" t="n">
        <v>0</v>
      </c>
      <c r="P39" s="10" t="n">
        <v>0</v>
      </c>
      <c r="Q39" s="11">
        <f>IF($A39="","",IFERROR(C39/B39,0))</f>
        <v/>
      </c>
      <c r="R39" s="12">
        <f>IF($A39="","",MAX(I39-H39,0))</f>
        <v/>
      </c>
      <c r="S39" s="11">
        <f>IF($A39="","",IFERROR(C39/B39,0))</f>
        <v/>
      </c>
      <c r="T39" s="11">
        <f>IF($A39="","",IFERROR(D39/E39,0))</f>
        <v/>
      </c>
      <c r="U39" s="11">
        <f>IF($A39="","",IFERROR(F39/G39,0))</f>
        <v/>
      </c>
      <c r="V39" s="11">
        <f>IF($A39="","",IFERROR(H39/I39,0))</f>
        <v/>
      </c>
      <c r="W39" s="13">
        <f>IF($A39="","",IFERROR(J39/N39,0))</f>
        <v/>
      </c>
      <c r="X39" s="11">
        <f>IF($A39="","",IFERROR(K39/L39,0))</f>
        <v/>
      </c>
      <c r="Y39" s="13">
        <f>IF($A39="","",IFERROR(C39-O39,0))</f>
        <v/>
      </c>
      <c r="Z39" s="13">
        <f>IF($A39="","",IFERROR(O39/N39,0))</f>
        <v/>
      </c>
      <c r="AA39" s="11">
        <f>IF($A39="","",IFERROR(M39/G39,0))</f>
        <v/>
      </c>
    </row>
    <row r="40" ht="22" customHeight="1">
      <c r="A40" s="9" t="n">
        <v>46293</v>
      </c>
      <c r="B40" s="10" t="n">
        <v>10622339.70127603</v>
      </c>
      <c r="C40" s="10" t="n">
        <v>9641796.597732836</v>
      </c>
      <c r="D40" s="10" t="n">
        <v>482578.5888808342</v>
      </c>
      <c r="E40" s="10" t="n">
        <v>12957000</v>
      </c>
      <c r="F40" s="10" t="n">
        <v>1885222.019977495</v>
      </c>
      <c r="G40" s="10" t="n">
        <v>51828000</v>
      </c>
      <c r="H40" s="10" t="n">
        <v>520</v>
      </c>
      <c r="I40" s="10" t="n">
        <v>567</v>
      </c>
      <c r="J40" s="10" t="n">
        <v>9641796.597732836</v>
      </c>
      <c r="K40" s="10" t="n">
        <v>9902621.317420853</v>
      </c>
      <c r="L40" s="10" t="n">
        <v>12957000</v>
      </c>
      <c r="M40" s="10" t="n">
        <v>0</v>
      </c>
      <c r="N40" s="10" t="n">
        <v>0</v>
      </c>
      <c r="O40" s="10" t="n">
        <v>0</v>
      </c>
      <c r="P40" s="10" t="n">
        <v>0</v>
      </c>
      <c r="Q40" s="11">
        <f>IF($A40="","",IFERROR(C40/B40,0))</f>
        <v/>
      </c>
      <c r="R40" s="12">
        <f>IF($A40="","",MAX(I40-H40,0))</f>
        <v/>
      </c>
      <c r="S40" s="11">
        <f>IF($A40="","",IFERROR(C40/B40,0))</f>
        <v/>
      </c>
      <c r="T40" s="11">
        <f>IF($A40="","",IFERROR(D40/E40,0))</f>
        <v/>
      </c>
      <c r="U40" s="11">
        <f>IF($A40="","",IFERROR(F40/G40,0))</f>
        <v/>
      </c>
      <c r="V40" s="11">
        <f>IF($A40="","",IFERROR(H40/I40,0))</f>
        <v/>
      </c>
      <c r="W40" s="13">
        <f>IF($A40="","",IFERROR(J40/N40,0))</f>
        <v/>
      </c>
      <c r="X40" s="11">
        <f>IF($A40="","",IFERROR(K40/L40,0))</f>
        <v/>
      </c>
      <c r="Y40" s="13">
        <f>IF($A40="","",IFERROR(C40-O40,0))</f>
        <v/>
      </c>
      <c r="Z40" s="13">
        <f>IF($A40="","",IFERROR(O40/N40,0))</f>
        <v/>
      </c>
      <c r="AA40" s="11">
        <f>IF($A40="","",IFERROR(M40/G40,0))</f>
        <v/>
      </c>
    </row>
    <row r="41" ht="22" customHeight="1">
      <c r="A41" s="9" t="n">
        <v>46300</v>
      </c>
      <c r="B41" s="10" t="n">
        <v>10263792.51779546</v>
      </c>
      <c r="C41" s="10" t="n">
        <v>9513120.799559748</v>
      </c>
      <c r="D41" s="10" t="n">
        <v>488455.0043099901</v>
      </c>
      <c r="E41" s="10" t="n">
        <v>13020000</v>
      </c>
      <c r="F41" s="10" t="n">
        <v>1647838.519527407</v>
      </c>
      <c r="G41" s="10" t="n">
        <v>52080000</v>
      </c>
      <c r="H41" s="10" t="n">
        <v>520</v>
      </c>
      <c r="I41" s="10" t="n">
        <v>570</v>
      </c>
      <c r="J41" s="10" t="n">
        <v>9513120.799559748</v>
      </c>
      <c r="K41" s="10" t="n">
        <v>9749060.117412332</v>
      </c>
      <c r="L41" s="10" t="n">
        <v>13020000</v>
      </c>
      <c r="M41" s="10" t="n">
        <v>0</v>
      </c>
      <c r="N41" s="10" t="n">
        <v>0</v>
      </c>
      <c r="O41" s="10" t="n">
        <v>0</v>
      </c>
      <c r="P41" s="10" t="n">
        <v>0</v>
      </c>
      <c r="Q41" s="11">
        <f>IF($A41="","",IFERROR(C41/B41,0))</f>
        <v/>
      </c>
      <c r="R41" s="12">
        <f>IF($A41="","",MAX(I41-H41,0))</f>
        <v/>
      </c>
      <c r="S41" s="11">
        <f>IF($A41="","",IFERROR(C41/B41,0))</f>
        <v/>
      </c>
      <c r="T41" s="11">
        <f>IF($A41="","",IFERROR(D41/E41,0))</f>
        <v/>
      </c>
      <c r="U41" s="11">
        <f>IF($A41="","",IFERROR(F41/G41,0))</f>
        <v/>
      </c>
      <c r="V41" s="11">
        <f>IF($A41="","",IFERROR(H41/I41,0))</f>
        <v/>
      </c>
      <c r="W41" s="13">
        <f>IF($A41="","",IFERROR(J41/N41,0))</f>
        <v/>
      </c>
      <c r="X41" s="11">
        <f>IF($A41="","",IFERROR(K41/L41,0))</f>
        <v/>
      </c>
      <c r="Y41" s="13">
        <f>IF($A41="","",IFERROR(C41-O41,0))</f>
        <v/>
      </c>
      <c r="Z41" s="13">
        <f>IF($A41="","",IFERROR(O41/N41,0))</f>
        <v/>
      </c>
      <c r="AA41" s="11">
        <f>IF($A41="","",IFERROR(M41/G41,0))</f>
        <v/>
      </c>
    </row>
    <row r="42" ht="22" customHeight="1">
      <c r="A42" s="9" t="n">
        <v>46307</v>
      </c>
      <c r="B42" s="10" t="n">
        <v>10979049.85563967</v>
      </c>
      <c r="C42" s="10" t="n">
        <v>10308144.7163869</v>
      </c>
      <c r="D42" s="10" t="n">
        <v>202649.9736738766</v>
      </c>
      <c r="E42" s="10" t="n">
        <v>13083000</v>
      </c>
      <c r="F42" s="10" t="n">
        <v>1000212.706841645</v>
      </c>
      <c r="G42" s="10" t="n">
        <v>52332000</v>
      </c>
      <c r="H42" s="10" t="n">
        <v>527</v>
      </c>
      <c r="I42" s="10" t="n">
        <v>573</v>
      </c>
      <c r="J42" s="10" t="n">
        <v>10308144.7163869</v>
      </c>
      <c r="K42" s="10" t="n">
        <v>10394605.86114961</v>
      </c>
      <c r="L42" s="10" t="n">
        <v>13083000</v>
      </c>
      <c r="M42" s="10" t="n">
        <v>0</v>
      </c>
      <c r="N42" s="10" t="n">
        <v>0</v>
      </c>
      <c r="O42" s="10" t="n">
        <v>0</v>
      </c>
      <c r="P42" s="10" t="n">
        <v>0</v>
      </c>
      <c r="Q42" s="11">
        <f>IF($A42="","",IFERROR(C42/B42,0))</f>
        <v/>
      </c>
      <c r="R42" s="12">
        <f>IF($A42="","",MAX(I42-H42,0))</f>
        <v/>
      </c>
      <c r="S42" s="11">
        <f>IF($A42="","",IFERROR(C42/B42,0))</f>
        <v/>
      </c>
      <c r="T42" s="11">
        <f>IF($A42="","",IFERROR(D42/E42,0))</f>
        <v/>
      </c>
      <c r="U42" s="11">
        <f>IF($A42="","",IFERROR(F42/G42,0))</f>
        <v/>
      </c>
      <c r="V42" s="11">
        <f>IF($A42="","",IFERROR(H42/I42,0))</f>
        <v/>
      </c>
      <c r="W42" s="13">
        <f>IF($A42="","",IFERROR(J42/N42,0))</f>
        <v/>
      </c>
      <c r="X42" s="11">
        <f>IF($A42="","",IFERROR(K42/L42,0))</f>
        <v/>
      </c>
      <c r="Y42" s="13">
        <f>IF($A42="","",IFERROR(C42-O42,0))</f>
        <v/>
      </c>
      <c r="Z42" s="13">
        <f>IF($A42="","",IFERROR(O42/N42,0))</f>
        <v/>
      </c>
      <c r="AA42" s="11">
        <f>IF($A42="","",IFERROR(M42/G42,0))</f>
        <v/>
      </c>
    </row>
    <row r="43" ht="22" customHeight="1">
      <c r="A43" s="9" t="n">
        <v>46314</v>
      </c>
      <c r="B43" s="10" t="n">
        <v>10731852.7484095</v>
      </c>
      <c r="C43" s="10" t="n">
        <v>10260949.14950149</v>
      </c>
      <c r="D43" s="10" t="n">
        <v>197190</v>
      </c>
      <c r="E43" s="10" t="n">
        <v>13146000</v>
      </c>
      <c r="F43" s="10" t="n">
        <v>1262492.398500128</v>
      </c>
      <c r="G43" s="10" t="n">
        <v>52584000</v>
      </c>
      <c r="H43" s="10" t="n">
        <v>535</v>
      </c>
      <c r="I43" s="10" t="n">
        <v>575</v>
      </c>
      <c r="J43" s="10" t="n">
        <v>10260949.14950149</v>
      </c>
      <c r="K43" s="10" t="n">
        <v>10360893.35399332</v>
      </c>
      <c r="L43" s="10" t="n">
        <v>13146000</v>
      </c>
      <c r="M43" s="10" t="n">
        <v>0</v>
      </c>
      <c r="N43" s="10" t="n">
        <v>0</v>
      </c>
      <c r="O43" s="10" t="n">
        <v>0</v>
      </c>
      <c r="P43" s="10" t="n">
        <v>0</v>
      </c>
      <c r="Q43" s="11">
        <f>IF($A43="","",IFERROR(C43/B43,0))</f>
        <v/>
      </c>
      <c r="R43" s="12">
        <f>IF($A43="","",MAX(I43-H43,0))</f>
        <v/>
      </c>
      <c r="S43" s="11">
        <f>IF($A43="","",IFERROR(C43/B43,0))</f>
        <v/>
      </c>
      <c r="T43" s="11">
        <f>IF($A43="","",IFERROR(D43/E43,0))</f>
        <v/>
      </c>
      <c r="U43" s="11">
        <f>IF($A43="","",IFERROR(F43/G43,0))</f>
        <v/>
      </c>
      <c r="V43" s="11">
        <f>IF($A43="","",IFERROR(H43/I43,0))</f>
        <v/>
      </c>
      <c r="W43" s="13">
        <f>IF($A43="","",IFERROR(J43/N43,0))</f>
        <v/>
      </c>
      <c r="X43" s="11">
        <f>IF($A43="","",IFERROR(K43/L43,0))</f>
        <v/>
      </c>
      <c r="Y43" s="13">
        <f>IF($A43="","",IFERROR(C43-O43,0))</f>
        <v/>
      </c>
      <c r="Z43" s="13">
        <f>IF($A43="","",IFERROR(O43/N43,0))</f>
        <v/>
      </c>
      <c r="AA43" s="11">
        <f>IF($A43="","",IFERROR(M43/G43,0))</f>
        <v/>
      </c>
    </row>
    <row r="44" ht="22" customHeight="1">
      <c r="A44" s="9" t="n">
        <v>46321</v>
      </c>
      <c r="B44" s="10" t="n">
        <v>10874499.55927115</v>
      </c>
      <c r="C44" s="10" t="n">
        <v>10402582.2998692</v>
      </c>
      <c r="D44" s="10" t="n">
        <v>218352.4648634467</v>
      </c>
      <c r="E44" s="10" t="n">
        <v>13209000</v>
      </c>
      <c r="F44" s="10" t="n">
        <v>1975139.418631354</v>
      </c>
      <c r="G44" s="10" t="n">
        <v>52836000</v>
      </c>
      <c r="H44" s="10" t="n">
        <v>536</v>
      </c>
      <c r="I44" s="10" t="n">
        <v>578</v>
      </c>
      <c r="J44" s="10" t="n">
        <v>10402582.2998692</v>
      </c>
      <c r="K44" s="10" t="n">
        <v>10482408.29157535</v>
      </c>
      <c r="L44" s="10" t="n">
        <v>13209000</v>
      </c>
      <c r="M44" s="10" t="n">
        <v>0</v>
      </c>
      <c r="N44" s="10" t="n">
        <v>0</v>
      </c>
      <c r="O44" s="10" t="n">
        <v>0</v>
      </c>
      <c r="P44" s="10" t="n">
        <v>0</v>
      </c>
      <c r="Q44" s="11">
        <f>IF($A44="","",IFERROR(C44/B44,0))</f>
        <v/>
      </c>
      <c r="R44" s="12">
        <f>IF($A44="","",MAX(I44-H44,0))</f>
        <v/>
      </c>
      <c r="S44" s="11">
        <f>IF($A44="","",IFERROR(C44/B44,0))</f>
        <v/>
      </c>
      <c r="T44" s="11">
        <f>IF($A44="","",IFERROR(D44/E44,0))</f>
        <v/>
      </c>
      <c r="U44" s="11">
        <f>IF($A44="","",IFERROR(F44/G44,0))</f>
        <v/>
      </c>
      <c r="V44" s="11">
        <f>IF($A44="","",IFERROR(H44/I44,0))</f>
        <v/>
      </c>
      <c r="W44" s="13">
        <f>IF($A44="","",IFERROR(J44/N44,0))</f>
        <v/>
      </c>
      <c r="X44" s="11">
        <f>IF($A44="","",IFERROR(K44/L44,0))</f>
        <v/>
      </c>
      <c r="Y44" s="13">
        <f>IF($A44="","",IFERROR(C44-O44,0))</f>
        <v/>
      </c>
      <c r="Z44" s="13">
        <f>IF($A44="","",IFERROR(O44/N44,0))</f>
        <v/>
      </c>
      <c r="AA44" s="11">
        <f>IF($A44="","",IFERROR(M44/G44,0))</f>
        <v/>
      </c>
    </row>
    <row r="45" ht="22" customHeight="1">
      <c r="A45" s="9" t="n">
        <v>46328</v>
      </c>
      <c r="B45" s="10" t="n">
        <v>10623913.34142474</v>
      </c>
      <c r="C45" s="10" t="n">
        <v>10236812.22097851</v>
      </c>
      <c r="D45" s="10" t="n">
        <v>364963.7893800733</v>
      </c>
      <c r="E45" s="10" t="n">
        <v>13272000</v>
      </c>
      <c r="F45" s="10" t="n">
        <v>1089739.404286399</v>
      </c>
      <c r="G45" s="10" t="n">
        <v>53088000</v>
      </c>
      <c r="H45" s="10" t="n">
        <v>560</v>
      </c>
      <c r="I45" s="10" t="n">
        <v>581</v>
      </c>
      <c r="J45" s="10" t="n">
        <v>10236812.22097851</v>
      </c>
      <c r="K45" s="10" t="n">
        <v>10397637.0029795</v>
      </c>
      <c r="L45" s="10" t="n">
        <v>13272000</v>
      </c>
      <c r="M45" s="10" t="n">
        <v>0</v>
      </c>
      <c r="N45" s="10" t="n">
        <v>0</v>
      </c>
      <c r="O45" s="10" t="n">
        <v>0</v>
      </c>
      <c r="P45" s="10" t="n">
        <v>0</v>
      </c>
      <c r="Q45" s="11">
        <f>IF($A45="","",IFERROR(C45/B45,0))</f>
        <v/>
      </c>
      <c r="R45" s="12">
        <f>IF($A45="","",MAX(I45-H45,0))</f>
        <v/>
      </c>
      <c r="S45" s="11">
        <f>IF($A45="","",IFERROR(C45/B45,0))</f>
        <v/>
      </c>
      <c r="T45" s="11">
        <f>IF($A45="","",IFERROR(D45/E45,0))</f>
        <v/>
      </c>
      <c r="U45" s="11">
        <f>IF($A45="","",IFERROR(F45/G45,0))</f>
        <v/>
      </c>
      <c r="V45" s="11">
        <f>IF($A45="","",IFERROR(H45/I45,0))</f>
        <v/>
      </c>
      <c r="W45" s="13">
        <f>IF($A45="","",IFERROR(J45/N45,0))</f>
        <v/>
      </c>
      <c r="X45" s="11">
        <f>IF($A45="","",IFERROR(K45/L45,0))</f>
        <v/>
      </c>
      <c r="Y45" s="13">
        <f>IF($A45="","",IFERROR(C45-O45,0))</f>
        <v/>
      </c>
      <c r="Z45" s="13">
        <f>IF($A45="","",IFERROR(O45/N45,0))</f>
        <v/>
      </c>
      <c r="AA45" s="11">
        <f>IF($A45="","",IFERROR(M45/G45,0))</f>
        <v/>
      </c>
    </row>
    <row r="46" ht="22" customHeight="1">
      <c r="A46" s="9" t="n">
        <v>46335</v>
      </c>
      <c r="B46" s="10" t="n">
        <v>10830962.17935695</v>
      </c>
      <c r="C46" s="10" t="n">
        <v>10457668.8342072</v>
      </c>
      <c r="D46" s="10" t="n">
        <v>507659.5489881878</v>
      </c>
      <c r="E46" s="10" t="n">
        <v>13335000</v>
      </c>
      <c r="F46" s="10" t="n">
        <v>1428145.013421791</v>
      </c>
      <c r="G46" s="10" t="n">
        <v>53340000</v>
      </c>
      <c r="H46" s="10" t="n">
        <v>551</v>
      </c>
      <c r="I46" s="10" t="n">
        <v>584</v>
      </c>
      <c r="J46" s="10" t="n">
        <v>10457668.8342072</v>
      </c>
      <c r="K46" s="10" t="n">
        <v>10694730.49249931</v>
      </c>
      <c r="L46" s="10" t="n">
        <v>13335000</v>
      </c>
      <c r="M46" s="10" t="n">
        <v>0</v>
      </c>
      <c r="N46" s="10" t="n">
        <v>0</v>
      </c>
      <c r="O46" s="10" t="n">
        <v>0</v>
      </c>
      <c r="P46" s="10" t="n">
        <v>0</v>
      </c>
      <c r="Q46" s="11">
        <f>IF($A46="","",IFERROR(C46/B46,0))</f>
        <v/>
      </c>
      <c r="R46" s="12">
        <f>IF($A46="","",MAX(I46-H46,0))</f>
        <v/>
      </c>
      <c r="S46" s="11">
        <f>IF($A46="","",IFERROR(C46/B46,0))</f>
        <v/>
      </c>
      <c r="T46" s="11">
        <f>IF($A46="","",IFERROR(D46/E46,0))</f>
        <v/>
      </c>
      <c r="U46" s="11">
        <f>IF($A46="","",IFERROR(F46/G46,0))</f>
        <v/>
      </c>
      <c r="V46" s="11">
        <f>IF($A46="","",IFERROR(H46/I46,0))</f>
        <v/>
      </c>
      <c r="W46" s="13">
        <f>IF($A46="","",IFERROR(J46/N46,0))</f>
        <v/>
      </c>
      <c r="X46" s="11">
        <f>IF($A46="","",IFERROR(K46/L46,0))</f>
        <v/>
      </c>
      <c r="Y46" s="13">
        <f>IF($A46="","",IFERROR(C46-O46,0))</f>
        <v/>
      </c>
      <c r="Z46" s="13">
        <f>IF($A46="","",IFERROR(O46/N46,0))</f>
        <v/>
      </c>
      <c r="AA46" s="11">
        <f>IF($A46="","",IFERROR(M46/G46,0))</f>
        <v/>
      </c>
    </row>
    <row r="47" ht="22" customHeight="1">
      <c r="A47" s="9" t="n">
        <v>46342</v>
      </c>
      <c r="B47" s="10" t="n">
        <v>10904500.5952964</v>
      </c>
      <c r="C47" s="10" t="n">
        <v>10424148.49798989</v>
      </c>
      <c r="D47" s="10" t="n">
        <v>602143.1131606719</v>
      </c>
      <c r="E47" s="10" t="n">
        <v>13398000</v>
      </c>
      <c r="F47" s="10" t="n">
        <v>1258794.214946099</v>
      </c>
      <c r="G47" s="10" t="n">
        <v>53592000</v>
      </c>
      <c r="H47" s="10" t="n">
        <v>550</v>
      </c>
      <c r="I47" s="10" t="n">
        <v>586</v>
      </c>
      <c r="J47" s="10" t="n">
        <v>10424148.49798989</v>
      </c>
      <c r="K47" s="10" t="n">
        <v>10796208.56132798</v>
      </c>
      <c r="L47" s="10" t="n">
        <v>13398000</v>
      </c>
      <c r="M47" s="10" t="n">
        <v>0</v>
      </c>
      <c r="N47" s="10" t="n">
        <v>0</v>
      </c>
      <c r="O47" s="10" t="n">
        <v>0</v>
      </c>
      <c r="P47" s="10" t="n">
        <v>0</v>
      </c>
      <c r="Q47" s="11">
        <f>IF($A47="","",IFERROR(C47/B47,0))</f>
        <v/>
      </c>
      <c r="R47" s="12">
        <f>IF($A47="","",MAX(I47-H47,0))</f>
        <v/>
      </c>
      <c r="S47" s="11">
        <f>IF($A47="","",IFERROR(C47/B47,0))</f>
        <v/>
      </c>
      <c r="T47" s="11">
        <f>IF($A47="","",IFERROR(D47/E47,0))</f>
        <v/>
      </c>
      <c r="U47" s="11">
        <f>IF($A47="","",IFERROR(F47/G47,0))</f>
        <v/>
      </c>
      <c r="V47" s="11">
        <f>IF($A47="","",IFERROR(H47/I47,0))</f>
        <v/>
      </c>
      <c r="W47" s="13">
        <f>IF($A47="","",IFERROR(J47/N47,0))</f>
        <v/>
      </c>
      <c r="X47" s="11">
        <f>IF($A47="","",IFERROR(K47/L47,0))</f>
        <v/>
      </c>
      <c r="Y47" s="13">
        <f>IF($A47="","",IFERROR(C47-O47,0))</f>
        <v/>
      </c>
      <c r="Z47" s="13">
        <f>IF($A47="","",IFERROR(O47/N47,0))</f>
        <v/>
      </c>
      <c r="AA47" s="11">
        <f>IF($A47="","",IFERROR(M47/G47,0))</f>
        <v/>
      </c>
    </row>
    <row r="48" ht="22" customHeight="1">
      <c r="A48" s="9" t="n">
        <v>46349</v>
      </c>
      <c r="B48" s="10" t="n">
        <v>10633638.95810871</v>
      </c>
      <c r="C48" s="10" t="n">
        <v>10364656.04014769</v>
      </c>
      <c r="D48" s="10" t="n">
        <v>361049.6086433125</v>
      </c>
      <c r="E48" s="10" t="n">
        <v>13461000</v>
      </c>
      <c r="F48" s="10" t="n">
        <v>803131.7159227391</v>
      </c>
      <c r="G48" s="10" t="n">
        <v>53844000</v>
      </c>
      <c r="H48" s="10" t="n">
        <v>578</v>
      </c>
      <c r="I48" s="10" t="n">
        <v>589</v>
      </c>
      <c r="J48" s="10" t="n">
        <v>10364656.04014769</v>
      </c>
      <c r="K48" s="10" t="n">
        <v>10537965.24382763</v>
      </c>
      <c r="L48" s="10" t="n">
        <v>13461000</v>
      </c>
      <c r="M48" s="10" t="n">
        <v>0</v>
      </c>
      <c r="N48" s="10" t="n">
        <v>0</v>
      </c>
      <c r="O48" s="10" t="n">
        <v>0</v>
      </c>
      <c r="P48" s="10" t="n">
        <v>0</v>
      </c>
      <c r="Q48" s="11">
        <f>IF($A48="","",IFERROR(C48/B48,0))</f>
        <v/>
      </c>
      <c r="R48" s="12">
        <f>IF($A48="","",MAX(I48-H48,0))</f>
        <v/>
      </c>
      <c r="S48" s="11">
        <f>IF($A48="","",IFERROR(C48/B48,0))</f>
        <v/>
      </c>
      <c r="T48" s="11">
        <f>IF($A48="","",IFERROR(D48/E48,0))</f>
        <v/>
      </c>
      <c r="U48" s="11">
        <f>IF($A48="","",IFERROR(F48/G48,0))</f>
        <v/>
      </c>
      <c r="V48" s="11">
        <f>IF($A48="","",IFERROR(H48/I48,0))</f>
        <v/>
      </c>
      <c r="W48" s="13">
        <f>IF($A48="","",IFERROR(J48/N48,0))</f>
        <v/>
      </c>
      <c r="X48" s="11">
        <f>IF($A48="","",IFERROR(K48/L48,0))</f>
        <v/>
      </c>
      <c r="Y48" s="13">
        <f>IF($A48="","",IFERROR(C48-O48,0))</f>
        <v/>
      </c>
      <c r="Z48" s="13">
        <f>IF($A48="","",IFERROR(O48/N48,0))</f>
        <v/>
      </c>
      <c r="AA48" s="11">
        <f>IF($A48="","",IFERROR(M48/G48,0))</f>
        <v/>
      </c>
    </row>
    <row r="49" ht="22" customHeight="1">
      <c r="A49" s="9" t="n">
        <v>46356</v>
      </c>
      <c r="B49" s="10" t="n">
        <v>10889464.93355744</v>
      </c>
      <c r="C49" s="10" t="n">
        <v>9968449.694496036</v>
      </c>
      <c r="D49" s="10" t="n">
        <v>485336.4213326864</v>
      </c>
      <c r="E49" s="10" t="n">
        <v>13524000</v>
      </c>
      <c r="F49" s="10" t="n">
        <v>1264580.023548916</v>
      </c>
      <c r="G49" s="10" t="n">
        <v>54096000</v>
      </c>
      <c r="H49" s="10" t="n">
        <v>523</v>
      </c>
      <c r="I49" s="10" t="n">
        <v>592</v>
      </c>
      <c r="J49" s="10" t="n">
        <v>9968449.694496036</v>
      </c>
      <c r="K49" s="10" t="n">
        <v>10248899.8778292</v>
      </c>
      <c r="L49" s="10" t="n">
        <v>13524000</v>
      </c>
      <c r="M49" s="10" t="n">
        <v>0</v>
      </c>
      <c r="N49" s="10" t="n">
        <v>0</v>
      </c>
      <c r="O49" s="10" t="n">
        <v>0</v>
      </c>
      <c r="P49" s="10" t="n">
        <v>0</v>
      </c>
      <c r="Q49" s="11">
        <f>IF($A49="","",IFERROR(C49/B49,0))</f>
        <v/>
      </c>
      <c r="R49" s="12">
        <f>IF($A49="","",MAX(I49-H49,0))</f>
        <v/>
      </c>
      <c r="S49" s="11">
        <f>IF($A49="","",IFERROR(C49/B49,0))</f>
        <v/>
      </c>
      <c r="T49" s="11">
        <f>IF($A49="","",IFERROR(D49/E49,0))</f>
        <v/>
      </c>
      <c r="U49" s="11">
        <f>IF($A49="","",IFERROR(F49/G49,0))</f>
        <v/>
      </c>
      <c r="V49" s="11">
        <f>IF($A49="","",IFERROR(H49/I49,0))</f>
        <v/>
      </c>
      <c r="W49" s="13">
        <f>IF($A49="","",IFERROR(J49/N49,0))</f>
        <v/>
      </c>
      <c r="X49" s="11">
        <f>IF($A49="","",IFERROR(K49/L49,0))</f>
        <v/>
      </c>
      <c r="Y49" s="13">
        <f>IF($A49="","",IFERROR(C49-O49,0))</f>
        <v/>
      </c>
      <c r="Z49" s="13">
        <f>IF($A49="","",IFERROR(O49/N49,0))</f>
        <v/>
      </c>
      <c r="AA49" s="11">
        <f>IF($A49="","",IFERROR(M49/G49,0))</f>
        <v/>
      </c>
    </row>
    <row r="50" ht="22" customHeight="1">
      <c r="A50" s="9" t="n">
        <v>46363</v>
      </c>
      <c r="B50" s="10" t="n">
        <v>11064434.86322371</v>
      </c>
      <c r="C50" s="10" t="n">
        <v>10464569.98489858</v>
      </c>
      <c r="D50" s="10" t="n">
        <v>796850.5001546876</v>
      </c>
      <c r="E50" s="10" t="n">
        <v>13587000</v>
      </c>
      <c r="F50" s="10" t="n">
        <v>1646433.740330864</v>
      </c>
      <c r="G50" s="10" t="n">
        <v>54348000</v>
      </c>
      <c r="H50" s="10" t="n">
        <v>551</v>
      </c>
      <c r="I50" s="10" t="n">
        <v>595</v>
      </c>
      <c r="J50" s="10" t="n">
        <v>10464569.98489858</v>
      </c>
      <c r="K50" s="10" t="n">
        <v>10821609.75258697</v>
      </c>
      <c r="L50" s="10" t="n">
        <v>13587000</v>
      </c>
      <c r="M50" s="10" t="n">
        <v>0</v>
      </c>
      <c r="N50" s="10" t="n">
        <v>0</v>
      </c>
      <c r="O50" s="10" t="n">
        <v>0</v>
      </c>
      <c r="P50" s="10" t="n">
        <v>0</v>
      </c>
      <c r="Q50" s="11">
        <f>IF($A50="","",IFERROR(C50/B50,0))</f>
        <v/>
      </c>
      <c r="R50" s="12">
        <f>IF($A50="","",MAX(I50-H50,0))</f>
        <v/>
      </c>
      <c r="S50" s="11">
        <f>IF($A50="","",IFERROR(C50/B50,0))</f>
        <v/>
      </c>
      <c r="T50" s="11">
        <f>IF($A50="","",IFERROR(D50/E50,0))</f>
        <v/>
      </c>
      <c r="U50" s="11">
        <f>IF($A50="","",IFERROR(F50/G50,0))</f>
        <v/>
      </c>
      <c r="V50" s="11">
        <f>IF($A50="","",IFERROR(H50/I50,0))</f>
        <v/>
      </c>
      <c r="W50" s="13">
        <f>IF($A50="","",IFERROR(J50/N50,0))</f>
        <v/>
      </c>
      <c r="X50" s="11">
        <f>IF($A50="","",IFERROR(K50/L50,0))</f>
        <v/>
      </c>
      <c r="Y50" s="13">
        <f>IF($A50="","",IFERROR(C50-O50,0))</f>
        <v/>
      </c>
      <c r="Z50" s="13">
        <f>IF($A50="","",IFERROR(O50/N50,0))</f>
        <v/>
      </c>
      <c r="AA50" s="11">
        <f>IF($A50="","",IFERROR(M50/G50,0))</f>
        <v/>
      </c>
    </row>
    <row r="51" ht="22" customHeight="1">
      <c r="A51" s="9" t="n">
        <v>46370</v>
      </c>
      <c r="B51" s="10" t="n">
        <v>10867126.13000554</v>
      </c>
      <c r="C51" s="10" t="n">
        <v>10405119.76486967</v>
      </c>
      <c r="D51" s="10" t="n">
        <v>797148.2429407844</v>
      </c>
      <c r="E51" s="10" t="n">
        <v>13650000</v>
      </c>
      <c r="F51" s="10" t="n">
        <v>2005518.632243238</v>
      </c>
      <c r="G51" s="10" t="n">
        <v>54600000</v>
      </c>
      <c r="H51" s="10" t="n">
        <v>545</v>
      </c>
      <c r="I51" s="10" t="n">
        <v>598</v>
      </c>
      <c r="J51" s="10" t="n">
        <v>10405119.76486967</v>
      </c>
      <c r="K51" s="10" t="n">
        <v>10958901.42237194</v>
      </c>
      <c r="L51" s="10" t="n">
        <v>13650000</v>
      </c>
      <c r="M51" s="10" t="n">
        <v>0</v>
      </c>
      <c r="N51" s="10" t="n">
        <v>0</v>
      </c>
      <c r="O51" s="10" t="n">
        <v>0</v>
      </c>
      <c r="P51" s="10" t="n">
        <v>0</v>
      </c>
      <c r="Q51" s="11">
        <f>IF($A51="","",IFERROR(C51/B51,0))</f>
        <v/>
      </c>
      <c r="R51" s="12">
        <f>IF($A51="","",MAX(I51-H51,0))</f>
        <v/>
      </c>
      <c r="S51" s="11">
        <f>IF($A51="","",IFERROR(C51/B51,0))</f>
        <v/>
      </c>
      <c r="T51" s="11">
        <f>IF($A51="","",IFERROR(D51/E51,0))</f>
        <v/>
      </c>
      <c r="U51" s="11">
        <f>IF($A51="","",IFERROR(F51/G51,0))</f>
        <v/>
      </c>
      <c r="V51" s="11">
        <f>IF($A51="","",IFERROR(H51/I51,0))</f>
        <v/>
      </c>
      <c r="W51" s="13">
        <f>IF($A51="","",IFERROR(J51/N51,0))</f>
        <v/>
      </c>
      <c r="X51" s="11">
        <f>IF($A51="","",IFERROR(K51/L51,0))</f>
        <v/>
      </c>
      <c r="Y51" s="13">
        <f>IF($A51="","",IFERROR(C51-O51,0))</f>
        <v/>
      </c>
      <c r="Z51" s="13">
        <f>IF($A51="","",IFERROR(O51/N51,0))</f>
        <v/>
      </c>
      <c r="AA51" s="11">
        <f>IF($A51="","",IFERROR(M51/G51,0))</f>
        <v/>
      </c>
    </row>
    <row r="52" ht="22" customHeight="1">
      <c r="A52" s="9" t="n">
        <v>46377</v>
      </c>
      <c r="B52" s="10" t="n">
        <v>10783590.12801</v>
      </c>
      <c r="C52" s="10" t="n">
        <v>10133493.62095044</v>
      </c>
      <c r="D52" s="10" t="n">
        <v>861084.4264756741</v>
      </c>
      <c r="E52" s="10" t="n">
        <v>13713000</v>
      </c>
      <c r="F52" s="10" t="n">
        <v>1839423.481722058</v>
      </c>
      <c r="G52" s="10" t="n">
        <v>54852000</v>
      </c>
      <c r="H52" s="10" t="n">
        <v>544</v>
      </c>
      <c r="I52" s="10" t="n">
        <v>600</v>
      </c>
      <c r="J52" s="10" t="n">
        <v>10133493.62095044</v>
      </c>
      <c r="K52" s="10" t="n">
        <v>10516134.81150202</v>
      </c>
      <c r="L52" s="10" t="n">
        <v>13713000</v>
      </c>
      <c r="M52" s="10" t="n">
        <v>0</v>
      </c>
      <c r="N52" s="10" t="n">
        <v>0</v>
      </c>
      <c r="O52" s="10" t="n">
        <v>0</v>
      </c>
      <c r="P52" s="10" t="n">
        <v>0</v>
      </c>
      <c r="Q52" s="11">
        <f>IF($A52="","",IFERROR(C52/B52,0))</f>
        <v/>
      </c>
      <c r="R52" s="12">
        <f>IF($A52="","",MAX(I52-H52,0))</f>
        <v/>
      </c>
      <c r="S52" s="11">
        <f>IF($A52="","",IFERROR(C52/B52,0))</f>
        <v/>
      </c>
      <c r="T52" s="11">
        <f>IF($A52="","",IFERROR(D52/E52,0))</f>
        <v/>
      </c>
      <c r="U52" s="11">
        <f>IF($A52="","",IFERROR(F52/G52,0))</f>
        <v/>
      </c>
      <c r="V52" s="11">
        <f>IF($A52="","",IFERROR(H52/I52,0))</f>
        <v/>
      </c>
      <c r="W52" s="13">
        <f>IF($A52="","",IFERROR(J52/N52,0))</f>
        <v/>
      </c>
      <c r="X52" s="11">
        <f>IF($A52="","",IFERROR(K52/L52,0))</f>
        <v/>
      </c>
      <c r="Y52" s="13">
        <f>IF($A52="","",IFERROR(C52-O52,0))</f>
        <v/>
      </c>
      <c r="Z52" s="13">
        <f>IF($A52="","",IFERROR(O52/N52,0))</f>
        <v/>
      </c>
      <c r="AA52" s="11">
        <f>IF($A52="","",IFERROR(M52/G52,0))</f>
        <v/>
      </c>
    </row>
    <row r="53" ht="22" customHeight="1">
      <c r="A53" s="9" t="n">
        <v>46384</v>
      </c>
      <c r="B53" s="10" t="n">
        <v>10935784.7211269</v>
      </c>
      <c r="C53" s="10" t="n">
        <v>10447835.81151585</v>
      </c>
      <c r="D53" s="10" t="n">
        <v>967049.9961402306</v>
      </c>
      <c r="E53" s="10" t="n">
        <v>13776000</v>
      </c>
      <c r="F53" s="10" t="n">
        <v>1715634.959651325</v>
      </c>
      <c r="G53" s="10" t="n">
        <v>55104000</v>
      </c>
      <c r="H53" s="10" t="n">
        <v>571</v>
      </c>
      <c r="I53" s="10" t="n">
        <v>603</v>
      </c>
      <c r="J53" s="10" t="n">
        <v>10447835.81151585</v>
      </c>
      <c r="K53" s="10" t="n">
        <v>11100291.77242641</v>
      </c>
      <c r="L53" s="10" t="n">
        <v>13776000</v>
      </c>
      <c r="M53" s="10" t="n">
        <v>0</v>
      </c>
      <c r="N53" s="10" t="n">
        <v>0</v>
      </c>
      <c r="O53" s="10" t="n">
        <v>0</v>
      </c>
      <c r="P53" s="10" t="n">
        <v>0</v>
      </c>
      <c r="Q53" s="11">
        <f>IF($A53="","",IFERROR(C53/B53,0))</f>
        <v/>
      </c>
      <c r="R53" s="12">
        <f>IF($A53="","",MAX(I53-H53,0))</f>
        <v/>
      </c>
      <c r="S53" s="11">
        <f>IF($A53="","",IFERROR(C53/B53,0))</f>
        <v/>
      </c>
      <c r="T53" s="11">
        <f>IF($A53="","",IFERROR(D53/E53,0))</f>
        <v/>
      </c>
      <c r="U53" s="11">
        <f>IF($A53="","",IFERROR(F53/G53,0))</f>
        <v/>
      </c>
      <c r="V53" s="11">
        <f>IF($A53="","",IFERROR(H53/I53,0))</f>
        <v/>
      </c>
      <c r="W53" s="13">
        <f>IF($A53="","",IFERROR(J53/N53,0))</f>
        <v/>
      </c>
      <c r="X53" s="11">
        <f>IF($A53="","",IFERROR(K53/L53,0))</f>
        <v/>
      </c>
      <c r="Y53" s="13">
        <f>IF($A53="","",IFERROR(C53-O53,0))</f>
        <v/>
      </c>
      <c r="Z53" s="13">
        <f>IF($A53="","",IFERROR(O53/N53,0))</f>
        <v/>
      </c>
      <c r="AA53" s="11">
        <f>IF($A53="","",IFERROR(M53/G53,0))</f>
        <v/>
      </c>
    </row>
    <row r="54" ht="22" customHeight="1">
      <c r="A54" s="9" t="n">
        <v>46391</v>
      </c>
      <c r="B54" s="10" t="n">
        <v>11161824.51754808</v>
      </c>
      <c r="C54" s="10" t="n">
        <v>10102913.32199644</v>
      </c>
      <c r="D54" s="10" t="n">
        <v>1060946.33421915</v>
      </c>
      <c r="E54" s="10" t="n">
        <v>13839000</v>
      </c>
      <c r="F54" s="10" t="n">
        <v>3307850.796190809</v>
      </c>
      <c r="G54" s="10" t="n">
        <v>55356000</v>
      </c>
      <c r="H54" s="10" t="n">
        <v>528</v>
      </c>
      <c r="I54" s="10" t="n">
        <v>606</v>
      </c>
      <c r="J54" s="10" t="n">
        <v>10102913.32199644</v>
      </c>
      <c r="K54" s="10" t="n">
        <v>10604863.40397931</v>
      </c>
      <c r="L54" s="10" t="n">
        <v>13839000</v>
      </c>
      <c r="M54" s="10" t="n">
        <v>0</v>
      </c>
      <c r="N54" s="10" t="n">
        <v>0</v>
      </c>
      <c r="O54" s="10" t="n">
        <v>0</v>
      </c>
      <c r="P54" s="10" t="n">
        <v>0</v>
      </c>
      <c r="Q54" s="11">
        <f>IF($A54="","",IFERROR(C54/B54,0))</f>
        <v/>
      </c>
      <c r="R54" s="12">
        <f>IF($A54="","",MAX(I54-H54,0))</f>
        <v/>
      </c>
      <c r="S54" s="11">
        <f>IF($A54="","",IFERROR(C54/B54,0))</f>
        <v/>
      </c>
      <c r="T54" s="11">
        <f>IF($A54="","",IFERROR(D54/E54,0))</f>
        <v/>
      </c>
      <c r="U54" s="11">
        <f>IF($A54="","",IFERROR(F54/G54,0))</f>
        <v/>
      </c>
      <c r="V54" s="11">
        <f>IF($A54="","",IFERROR(H54/I54,0))</f>
        <v/>
      </c>
      <c r="W54" s="13">
        <f>IF($A54="","",IFERROR(J54/N54,0))</f>
        <v/>
      </c>
      <c r="X54" s="11">
        <f>IF($A54="","",IFERROR(K54/L54,0))</f>
        <v/>
      </c>
      <c r="Y54" s="13">
        <f>IF($A54="","",IFERROR(C54-O54,0))</f>
        <v/>
      </c>
      <c r="Z54" s="13">
        <f>IF($A54="","",IFERROR(O54/N54,0))</f>
        <v/>
      </c>
      <c r="AA54" s="11">
        <f>IF($A54="","",IFERROR(M54/G54,0))</f>
        <v/>
      </c>
    </row>
    <row r="55" ht="22" customHeight="1">
      <c r="A55" s="9" t="n">
        <v>46398</v>
      </c>
      <c r="B55" s="10" t="n">
        <v>11164013.27443621</v>
      </c>
      <c r="C55" s="10" t="n">
        <v>10476756.87346715</v>
      </c>
      <c r="D55" s="10" t="n">
        <v>848273.8200261323</v>
      </c>
      <c r="E55" s="10" t="n">
        <v>13902000</v>
      </c>
      <c r="F55" s="10" t="n">
        <v>2530204.113187373</v>
      </c>
      <c r="G55" s="10" t="n">
        <v>55608000</v>
      </c>
      <c r="H55" s="10" t="n">
        <v>552</v>
      </c>
      <c r="I55" s="10" t="n">
        <v>609</v>
      </c>
      <c r="J55" s="10" t="n">
        <v>10476756.87346715</v>
      </c>
      <c r="K55" s="10" t="n">
        <v>10946341.3458278</v>
      </c>
      <c r="L55" s="10" t="n">
        <v>13902000</v>
      </c>
      <c r="M55" s="10" t="n">
        <v>0</v>
      </c>
      <c r="N55" s="10" t="n">
        <v>0</v>
      </c>
      <c r="O55" s="10" t="n">
        <v>0</v>
      </c>
      <c r="P55" s="10" t="n">
        <v>0</v>
      </c>
      <c r="Q55" s="11">
        <f>IF($A55="","",IFERROR(C55/B55,0))</f>
        <v/>
      </c>
      <c r="R55" s="12">
        <f>IF($A55="","",MAX(I55-H55,0))</f>
        <v/>
      </c>
      <c r="S55" s="11">
        <f>IF($A55="","",IFERROR(C55/B55,0))</f>
        <v/>
      </c>
      <c r="T55" s="11">
        <f>IF($A55="","",IFERROR(D55/E55,0))</f>
        <v/>
      </c>
      <c r="U55" s="11">
        <f>IF($A55="","",IFERROR(F55/G55,0))</f>
        <v/>
      </c>
      <c r="V55" s="11">
        <f>IF($A55="","",IFERROR(H55/I55,0))</f>
        <v/>
      </c>
      <c r="W55" s="13">
        <f>IF($A55="","",IFERROR(J55/N55,0))</f>
        <v/>
      </c>
      <c r="X55" s="11">
        <f>IF($A55="","",IFERROR(K55/L55,0))</f>
        <v/>
      </c>
      <c r="Y55" s="13">
        <f>IF($A55="","",IFERROR(C55-O55,0))</f>
        <v/>
      </c>
      <c r="Z55" s="13">
        <f>IF($A55="","",IFERROR(O55/N55,0))</f>
        <v/>
      </c>
      <c r="AA55" s="11">
        <f>IF($A55="","",IFERROR(M55/G55,0))</f>
        <v/>
      </c>
    </row>
    <row r="56" ht="22" customHeight="1">
      <c r="A56" s="9" t="n">
        <v>46405</v>
      </c>
      <c r="B56" s="10" t="n">
        <v>10926851.36147905</v>
      </c>
      <c r="C56" s="10" t="n">
        <v>9931120.053566165</v>
      </c>
      <c r="D56" s="10" t="n">
        <v>807825.8789200224</v>
      </c>
      <c r="E56" s="10" t="n">
        <v>13965000</v>
      </c>
      <c r="F56" s="10" t="n">
        <v>2090441.287626491</v>
      </c>
      <c r="G56" s="10" t="n">
        <v>55860000</v>
      </c>
      <c r="H56" s="10" t="n">
        <v>545</v>
      </c>
      <c r="I56" s="10" t="n">
        <v>611</v>
      </c>
      <c r="J56" s="10" t="n">
        <v>9931120.053566165</v>
      </c>
      <c r="K56" s="10" t="n">
        <v>10403889.51299176</v>
      </c>
      <c r="L56" s="10" t="n">
        <v>13965000</v>
      </c>
      <c r="M56" s="10" t="n">
        <v>0</v>
      </c>
      <c r="N56" s="10" t="n">
        <v>0</v>
      </c>
      <c r="O56" s="10" t="n">
        <v>0</v>
      </c>
      <c r="P56" s="10" t="n">
        <v>0</v>
      </c>
      <c r="Q56" s="11">
        <f>IF($A56="","",IFERROR(C56/B56,0))</f>
        <v/>
      </c>
      <c r="R56" s="12">
        <f>IF($A56="","",MAX(I56-H56,0))</f>
        <v/>
      </c>
      <c r="S56" s="11">
        <f>IF($A56="","",IFERROR(C56/B56,0))</f>
        <v/>
      </c>
      <c r="T56" s="11">
        <f>IF($A56="","",IFERROR(D56/E56,0))</f>
        <v/>
      </c>
      <c r="U56" s="11">
        <f>IF($A56="","",IFERROR(F56/G56,0))</f>
        <v/>
      </c>
      <c r="V56" s="11">
        <f>IF($A56="","",IFERROR(H56/I56,0))</f>
        <v/>
      </c>
      <c r="W56" s="13">
        <f>IF($A56="","",IFERROR(J56/N56,0))</f>
        <v/>
      </c>
      <c r="X56" s="11">
        <f>IF($A56="","",IFERROR(K56/L56,0))</f>
        <v/>
      </c>
      <c r="Y56" s="13">
        <f>IF($A56="","",IFERROR(C56-O56,0))</f>
        <v/>
      </c>
      <c r="Z56" s="13">
        <f>IF($A56="","",IFERROR(O56/N56,0))</f>
        <v/>
      </c>
      <c r="AA56" s="11">
        <f>IF($A56="","",IFERROR(M56/G56,0))</f>
        <v/>
      </c>
    </row>
    <row r="57" ht="22" customHeight="1">
      <c r="A57" s="9" t="n">
        <v>46412</v>
      </c>
      <c r="B57" s="10" t="n">
        <v>11173477.87646287</v>
      </c>
      <c r="C57" s="10" t="n">
        <v>10087304.36396381</v>
      </c>
      <c r="D57" s="10" t="n">
        <v>1044281.135411079</v>
      </c>
      <c r="E57" s="10" t="n">
        <v>14028000</v>
      </c>
      <c r="F57" s="10" t="n">
        <v>1914148.728401995</v>
      </c>
      <c r="G57" s="10" t="n">
        <v>56112000</v>
      </c>
      <c r="H57" s="10" t="n">
        <v>546</v>
      </c>
      <c r="I57" s="10" t="n">
        <v>614</v>
      </c>
      <c r="J57" s="10" t="n">
        <v>10087304.36396381</v>
      </c>
      <c r="K57" s="10" t="n">
        <v>10877678.61044371</v>
      </c>
      <c r="L57" s="10" t="n">
        <v>14028000</v>
      </c>
      <c r="M57" s="10" t="n">
        <v>0</v>
      </c>
      <c r="N57" s="10" t="n">
        <v>0</v>
      </c>
      <c r="O57" s="10" t="n">
        <v>0</v>
      </c>
      <c r="P57" s="10" t="n">
        <v>0</v>
      </c>
      <c r="Q57" s="11">
        <f>IF($A57="","",IFERROR(C57/B57,0))</f>
        <v/>
      </c>
      <c r="R57" s="12">
        <f>IF($A57="","",MAX(I57-H57,0))</f>
        <v/>
      </c>
      <c r="S57" s="11">
        <f>IF($A57="","",IFERROR(C57/B57,0))</f>
        <v/>
      </c>
      <c r="T57" s="11">
        <f>IF($A57="","",IFERROR(D57/E57,0))</f>
        <v/>
      </c>
      <c r="U57" s="11">
        <f>IF($A57="","",IFERROR(F57/G57,0))</f>
        <v/>
      </c>
      <c r="V57" s="11">
        <f>IF($A57="","",IFERROR(H57/I57,0))</f>
        <v/>
      </c>
      <c r="W57" s="13">
        <f>IF($A57="","",IFERROR(J57/N57,0))</f>
        <v/>
      </c>
      <c r="X57" s="11">
        <f>IF($A57="","",IFERROR(K57/L57,0))</f>
        <v/>
      </c>
      <c r="Y57" s="13">
        <f>IF($A57="","",IFERROR(C57-O57,0))</f>
        <v/>
      </c>
      <c r="Z57" s="13">
        <f>IF($A57="","",IFERROR(O57/N57,0))</f>
        <v/>
      </c>
      <c r="AA57" s="11">
        <f>IF($A57="","",IFERROR(M57/G57,0))</f>
        <v/>
      </c>
    </row>
    <row r="58" ht="22" customHeight="1">
      <c r="A58" s="9" t="n">
        <v>46419</v>
      </c>
      <c r="B58" s="10" t="n">
        <v>11159224.71530684</v>
      </c>
      <c r="C58" s="10" t="n">
        <v>10654260.61112073</v>
      </c>
      <c r="D58" s="10" t="n">
        <v>1145566.111096076</v>
      </c>
      <c r="E58" s="10" t="n">
        <v>14091000</v>
      </c>
      <c r="F58" s="10" t="n">
        <v>2703613.158626798</v>
      </c>
      <c r="G58" s="10" t="n">
        <v>56364000</v>
      </c>
      <c r="H58" s="10" t="n">
        <v>588</v>
      </c>
      <c r="I58" s="10" t="n">
        <v>617</v>
      </c>
      <c r="J58" s="10" t="n">
        <v>10654260.61112073</v>
      </c>
      <c r="K58" s="10" t="n">
        <v>11114025.86214625</v>
      </c>
      <c r="L58" s="10" t="n">
        <v>14091000</v>
      </c>
      <c r="M58" s="10" t="n">
        <v>0</v>
      </c>
      <c r="N58" s="10" t="n">
        <v>0</v>
      </c>
      <c r="O58" s="10" t="n">
        <v>0</v>
      </c>
      <c r="P58" s="10" t="n">
        <v>0</v>
      </c>
      <c r="Q58" s="11">
        <f>IF($A58="","",IFERROR(C58/B58,0))</f>
        <v/>
      </c>
      <c r="R58" s="12">
        <f>IF($A58="","",MAX(I58-H58,0))</f>
        <v/>
      </c>
      <c r="S58" s="11">
        <f>IF($A58="","",IFERROR(C58/B58,0))</f>
        <v/>
      </c>
      <c r="T58" s="11">
        <f>IF($A58="","",IFERROR(D58/E58,0))</f>
        <v/>
      </c>
      <c r="U58" s="11">
        <f>IF($A58="","",IFERROR(F58/G58,0))</f>
        <v/>
      </c>
      <c r="V58" s="11">
        <f>IF($A58="","",IFERROR(H58/I58,0))</f>
        <v/>
      </c>
      <c r="W58" s="13">
        <f>IF($A58="","",IFERROR(J58/N58,0))</f>
        <v/>
      </c>
      <c r="X58" s="11">
        <f>IF($A58="","",IFERROR(K58/L58,0))</f>
        <v/>
      </c>
      <c r="Y58" s="13">
        <f>IF($A58="","",IFERROR(C58-O58,0))</f>
        <v/>
      </c>
      <c r="Z58" s="13">
        <f>IF($A58="","",IFERROR(O58/N58,0))</f>
        <v/>
      </c>
      <c r="AA58" s="11">
        <f>IF($A58="","",IFERROR(M58/G58,0))</f>
        <v/>
      </c>
    </row>
    <row r="59" ht="22" customHeight="1">
      <c r="A59" s="9" t="n">
        <v>46426</v>
      </c>
      <c r="B59" s="10" t="n">
        <v>11756952.39044125</v>
      </c>
      <c r="C59" s="10" t="n">
        <v>10794934.61606569</v>
      </c>
      <c r="D59" s="10" t="n">
        <v>870688.5336868844</v>
      </c>
      <c r="E59" s="10" t="n">
        <v>14154000</v>
      </c>
      <c r="F59" s="10" t="n">
        <v>3995339.744697734</v>
      </c>
      <c r="G59" s="10" t="n">
        <v>56616000</v>
      </c>
      <c r="H59" s="10" t="n">
        <v>563</v>
      </c>
      <c r="I59" s="10" t="n">
        <v>620</v>
      </c>
      <c r="J59" s="10" t="n">
        <v>10794934.61606569</v>
      </c>
      <c r="K59" s="10" t="n">
        <v>11352088.75015982</v>
      </c>
      <c r="L59" s="10" t="n">
        <v>14154000</v>
      </c>
      <c r="M59" s="10" t="n">
        <v>0</v>
      </c>
      <c r="N59" s="10" t="n">
        <v>0</v>
      </c>
      <c r="O59" s="10" t="n">
        <v>0</v>
      </c>
      <c r="P59" s="10" t="n">
        <v>0</v>
      </c>
      <c r="Q59" s="11">
        <f>IF($A59="","",IFERROR(C59/B59,0))</f>
        <v/>
      </c>
      <c r="R59" s="12">
        <f>IF($A59="","",MAX(I59-H59,0))</f>
        <v/>
      </c>
      <c r="S59" s="11">
        <f>IF($A59="","",IFERROR(C59/B59,0))</f>
        <v/>
      </c>
      <c r="T59" s="11">
        <f>IF($A59="","",IFERROR(D59/E59,0))</f>
        <v/>
      </c>
      <c r="U59" s="11">
        <f>IF($A59="","",IFERROR(F59/G59,0))</f>
        <v/>
      </c>
      <c r="V59" s="11">
        <f>IF($A59="","",IFERROR(H59/I59,0))</f>
        <v/>
      </c>
      <c r="W59" s="13">
        <f>IF($A59="","",IFERROR(J59/N59,0))</f>
        <v/>
      </c>
      <c r="X59" s="11">
        <f>IF($A59="","",IFERROR(K59/L59,0))</f>
        <v/>
      </c>
      <c r="Y59" s="13">
        <f>IF($A59="","",IFERROR(C59-O59,0))</f>
        <v/>
      </c>
      <c r="Z59" s="13">
        <f>IF($A59="","",IFERROR(O59/N59,0))</f>
        <v/>
      </c>
      <c r="AA59" s="11">
        <f>IF($A59="","",IFERROR(M59/G59,0))</f>
        <v/>
      </c>
    </row>
    <row r="60" ht="22" customHeight="1">
      <c r="A60" s="9" t="n">
        <v>46433</v>
      </c>
      <c r="B60" s="10" t="n">
        <v>11378786.12317316</v>
      </c>
      <c r="C60" s="10" t="n">
        <v>10239112.63864501</v>
      </c>
      <c r="D60" s="10" t="n">
        <v>841210.2835274694</v>
      </c>
      <c r="E60" s="10" t="n">
        <v>14217000</v>
      </c>
      <c r="F60" s="10" t="n">
        <v>4934057.499469779</v>
      </c>
      <c r="G60" s="10" t="n">
        <v>56868000.00000001</v>
      </c>
      <c r="H60" s="10" t="n">
        <v>556</v>
      </c>
      <c r="I60" s="10" t="n">
        <v>622</v>
      </c>
      <c r="J60" s="10" t="n">
        <v>10239112.63864501</v>
      </c>
      <c r="K60" s="10" t="n">
        <v>10665179.00209926</v>
      </c>
      <c r="L60" s="10" t="n">
        <v>14217000</v>
      </c>
      <c r="M60" s="10" t="n">
        <v>0</v>
      </c>
      <c r="N60" s="10" t="n">
        <v>0</v>
      </c>
      <c r="O60" s="10" t="n">
        <v>0</v>
      </c>
      <c r="P60" s="10" t="n">
        <v>0</v>
      </c>
      <c r="Q60" s="11">
        <f>IF($A60="","",IFERROR(C60/B60,0))</f>
        <v/>
      </c>
      <c r="R60" s="12">
        <f>IF($A60="","",MAX(I60-H60,0))</f>
        <v/>
      </c>
      <c r="S60" s="11">
        <f>IF($A60="","",IFERROR(C60/B60,0))</f>
        <v/>
      </c>
      <c r="T60" s="11">
        <f>IF($A60="","",IFERROR(D60/E60,0))</f>
        <v/>
      </c>
      <c r="U60" s="11">
        <f>IF($A60="","",IFERROR(F60/G60,0))</f>
        <v/>
      </c>
      <c r="V60" s="11">
        <f>IF($A60="","",IFERROR(H60/I60,0))</f>
        <v/>
      </c>
      <c r="W60" s="13">
        <f>IF($A60="","",IFERROR(J60/N60,0))</f>
        <v/>
      </c>
      <c r="X60" s="11">
        <f>IF($A60="","",IFERROR(K60/L60,0))</f>
        <v/>
      </c>
      <c r="Y60" s="13">
        <f>IF($A60="","",IFERROR(C60-O60,0))</f>
        <v/>
      </c>
      <c r="Z60" s="13">
        <f>IF($A60="","",IFERROR(O60/N60,0))</f>
        <v/>
      </c>
      <c r="AA60" s="11">
        <f>IF($A60="","",IFERROR(M60/G60,0))</f>
        <v/>
      </c>
    </row>
    <row r="61" ht="22" customHeight="1">
      <c r="A61" s="9" t="n">
        <v>46440</v>
      </c>
      <c r="B61" s="10" t="n">
        <v>12095025.66653343</v>
      </c>
      <c r="C61" s="10" t="n">
        <v>10930325.98256145</v>
      </c>
      <c r="D61" s="10" t="n">
        <v>1353653.570259472</v>
      </c>
      <c r="E61" s="10" t="n">
        <v>14280000</v>
      </c>
      <c r="F61" s="10" t="n">
        <v>3908810.668033</v>
      </c>
      <c r="G61" s="10" t="n">
        <v>57119999.99999999</v>
      </c>
      <c r="H61" s="10" t="n">
        <v>551</v>
      </c>
      <c r="I61" s="10" t="n">
        <v>625</v>
      </c>
      <c r="J61" s="10" t="n">
        <v>10930325.98256145</v>
      </c>
      <c r="K61" s="10" t="n">
        <v>11686958.61722054</v>
      </c>
      <c r="L61" s="10" t="n">
        <v>14280000</v>
      </c>
      <c r="M61" s="10" t="n">
        <v>0</v>
      </c>
      <c r="N61" s="10" t="n">
        <v>0</v>
      </c>
      <c r="O61" s="10" t="n">
        <v>0</v>
      </c>
      <c r="P61" s="10" t="n">
        <v>0</v>
      </c>
      <c r="Q61" s="11">
        <f>IF($A61="","",IFERROR(C61/B61,0))</f>
        <v/>
      </c>
      <c r="R61" s="12">
        <f>IF($A61="","",MAX(I61-H61,0))</f>
        <v/>
      </c>
      <c r="S61" s="11">
        <f>IF($A61="","",IFERROR(C61/B61,0))</f>
        <v/>
      </c>
      <c r="T61" s="11">
        <f>IF($A61="","",IFERROR(D61/E61,0))</f>
        <v/>
      </c>
      <c r="U61" s="11">
        <f>IF($A61="","",IFERROR(F61/G61,0))</f>
        <v/>
      </c>
      <c r="V61" s="11">
        <f>IF($A61="","",IFERROR(H61/I61,0))</f>
        <v/>
      </c>
      <c r="W61" s="13">
        <f>IF($A61="","",IFERROR(J61/N61,0))</f>
        <v/>
      </c>
      <c r="X61" s="11">
        <f>IF($A61="","",IFERROR(K61/L61,0))</f>
        <v/>
      </c>
      <c r="Y61" s="13">
        <f>IF($A61="","",IFERROR(C61-O61,0))</f>
        <v/>
      </c>
      <c r="Z61" s="13">
        <f>IF($A61="","",IFERROR(O61/N61,0))</f>
        <v/>
      </c>
      <c r="AA61" s="11">
        <f>IF($A61="","",IFERROR(M61/G61,0))</f>
        <v/>
      </c>
    </row>
    <row r="62" ht="22" customHeight="1">
      <c r="A62" s="9" t="n">
        <v>46447</v>
      </c>
      <c r="B62" s="10" t="n">
        <v>11451489.75998485</v>
      </c>
      <c r="C62" s="10" t="n">
        <v>10120693.26667685</v>
      </c>
      <c r="D62" s="10" t="n">
        <v>968564.3804697474</v>
      </c>
      <c r="E62" s="10" t="n">
        <v>14343000</v>
      </c>
      <c r="F62" s="10" t="n">
        <v>5099109.806081176</v>
      </c>
      <c r="G62" s="10" t="n">
        <v>57372000.00000001</v>
      </c>
      <c r="H62" s="10" t="n">
        <v>542</v>
      </c>
      <c r="I62" s="10" t="n">
        <v>628</v>
      </c>
      <c r="J62" s="10" t="n">
        <v>10120693.26667685</v>
      </c>
      <c r="K62" s="10" t="n">
        <v>10782053.696486</v>
      </c>
      <c r="L62" s="10" t="n">
        <v>14343000</v>
      </c>
      <c r="M62" s="10" t="n">
        <v>0</v>
      </c>
      <c r="N62" s="10" t="n">
        <v>0</v>
      </c>
      <c r="O62" s="10" t="n">
        <v>0</v>
      </c>
      <c r="P62" s="10" t="n">
        <v>0</v>
      </c>
      <c r="Q62" s="11">
        <f>IF($A62="","",IFERROR(C62/B62,0))</f>
        <v/>
      </c>
      <c r="R62" s="12">
        <f>IF($A62="","",MAX(I62-H62,0))</f>
        <v/>
      </c>
      <c r="S62" s="11">
        <f>IF($A62="","",IFERROR(C62/B62,0))</f>
        <v/>
      </c>
      <c r="T62" s="11">
        <f>IF($A62="","",IFERROR(D62/E62,0))</f>
        <v/>
      </c>
      <c r="U62" s="11">
        <f>IF($A62="","",IFERROR(F62/G62,0))</f>
        <v/>
      </c>
      <c r="V62" s="11">
        <f>IF($A62="","",IFERROR(H62/I62,0))</f>
        <v/>
      </c>
      <c r="W62" s="13">
        <f>IF($A62="","",IFERROR(J62/N62,0))</f>
        <v/>
      </c>
      <c r="X62" s="11">
        <f>IF($A62="","",IFERROR(K62/L62,0))</f>
        <v/>
      </c>
      <c r="Y62" s="13">
        <f>IF($A62="","",IFERROR(C62-O62,0))</f>
        <v/>
      </c>
      <c r="Z62" s="13">
        <f>IF($A62="","",IFERROR(O62/N62,0))</f>
        <v/>
      </c>
      <c r="AA62" s="11">
        <f>IF($A62="","",IFERROR(M62/G62,0))</f>
        <v/>
      </c>
    </row>
    <row r="63" ht="22" customHeight="1">
      <c r="A63" s="9" t="n">
        <v>46454</v>
      </c>
      <c r="B63" s="10" t="n">
        <v>11899252.77819167</v>
      </c>
      <c r="C63" s="10" t="n">
        <v>10369182.27195448</v>
      </c>
      <c r="D63" s="10" t="n">
        <v>999794.311733679</v>
      </c>
      <c r="E63" s="10" t="n">
        <v>14406000</v>
      </c>
      <c r="F63" s="10" t="n">
        <v>3376986.624801924</v>
      </c>
      <c r="G63" s="10" t="n">
        <v>57623999.99999999</v>
      </c>
      <c r="H63" s="10" t="n">
        <v>521</v>
      </c>
      <c r="I63" s="10" t="n">
        <v>631</v>
      </c>
      <c r="J63" s="10" t="n">
        <v>10369182.27195448</v>
      </c>
      <c r="K63" s="10" t="n">
        <v>10918236.06975865</v>
      </c>
      <c r="L63" s="10" t="n">
        <v>14406000</v>
      </c>
      <c r="M63" s="10" t="n">
        <v>0</v>
      </c>
      <c r="N63" s="10" t="n">
        <v>0</v>
      </c>
      <c r="O63" s="10" t="n">
        <v>0</v>
      </c>
      <c r="P63" s="10" t="n">
        <v>0</v>
      </c>
      <c r="Q63" s="11">
        <f>IF($A63="","",IFERROR(C63/B63,0))</f>
        <v/>
      </c>
      <c r="R63" s="12">
        <f>IF($A63="","",MAX(I63-H63,0))</f>
        <v/>
      </c>
      <c r="S63" s="11">
        <f>IF($A63="","",IFERROR(C63/B63,0))</f>
        <v/>
      </c>
      <c r="T63" s="11">
        <f>IF($A63="","",IFERROR(D63/E63,0))</f>
        <v/>
      </c>
      <c r="U63" s="11">
        <f>IF($A63="","",IFERROR(F63/G63,0))</f>
        <v/>
      </c>
      <c r="V63" s="11">
        <f>IF($A63="","",IFERROR(H63/I63,0))</f>
        <v/>
      </c>
      <c r="W63" s="13">
        <f>IF($A63="","",IFERROR(J63/N63,0))</f>
        <v/>
      </c>
      <c r="X63" s="11">
        <f>IF($A63="","",IFERROR(K63/L63,0))</f>
        <v/>
      </c>
      <c r="Y63" s="13">
        <f>IF($A63="","",IFERROR(C63-O63,0))</f>
        <v/>
      </c>
      <c r="Z63" s="13">
        <f>IF($A63="","",IFERROR(O63/N63,0))</f>
        <v/>
      </c>
      <c r="AA63" s="11">
        <f>IF($A63="","",IFERROR(M63/G63,0))</f>
        <v/>
      </c>
    </row>
    <row r="64" ht="22" customHeight="1">
      <c r="A64" s="9" t="n">
        <v>46461</v>
      </c>
      <c r="B64" s="10" t="n">
        <v>11791808.31347957</v>
      </c>
      <c r="C64" s="10" t="n">
        <v>10256146.63919169</v>
      </c>
      <c r="D64" s="10" t="n">
        <v>1122763.387289919</v>
      </c>
      <c r="E64" s="10" t="n">
        <v>14469000</v>
      </c>
      <c r="F64" s="10" t="n">
        <v>4498256.277623738</v>
      </c>
      <c r="G64" s="10" t="n">
        <v>57876000.00000001</v>
      </c>
      <c r="H64" s="10" t="n">
        <v>531</v>
      </c>
      <c r="I64" s="10" t="n">
        <v>633</v>
      </c>
      <c r="J64" s="10" t="n">
        <v>10256146.63919169</v>
      </c>
      <c r="K64" s="10" t="n">
        <v>10673168.59492351</v>
      </c>
      <c r="L64" s="10" t="n">
        <v>14469000</v>
      </c>
      <c r="M64" s="10" t="n">
        <v>0</v>
      </c>
      <c r="N64" s="10" t="n">
        <v>0</v>
      </c>
      <c r="O64" s="10" t="n">
        <v>0</v>
      </c>
      <c r="P64" s="10" t="n">
        <v>0</v>
      </c>
      <c r="Q64" s="11">
        <f>IF($A64="","",IFERROR(C64/B64,0))</f>
        <v/>
      </c>
      <c r="R64" s="12">
        <f>IF($A64="","",MAX(I64-H64,0))</f>
        <v/>
      </c>
      <c r="S64" s="11">
        <f>IF($A64="","",IFERROR(C64/B64,0))</f>
        <v/>
      </c>
      <c r="T64" s="11">
        <f>IF($A64="","",IFERROR(D64/E64,0))</f>
        <v/>
      </c>
      <c r="U64" s="11">
        <f>IF($A64="","",IFERROR(F64/G64,0))</f>
        <v/>
      </c>
      <c r="V64" s="11">
        <f>IF($A64="","",IFERROR(H64/I64,0))</f>
        <v/>
      </c>
      <c r="W64" s="13">
        <f>IF($A64="","",IFERROR(J64/N64,0))</f>
        <v/>
      </c>
      <c r="X64" s="11">
        <f>IF($A64="","",IFERROR(K64/L64,0))</f>
        <v/>
      </c>
      <c r="Y64" s="13">
        <f>IF($A64="","",IFERROR(C64-O64,0))</f>
        <v/>
      </c>
      <c r="Z64" s="13">
        <f>IF($A64="","",IFERROR(O64/N64,0))</f>
        <v/>
      </c>
      <c r="AA64" s="11">
        <f>IF($A64="","",IFERROR(M64/G64,0))</f>
        <v/>
      </c>
    </row>
    <row r="65" ht="22" customHeight="1">
      <c r="A65" s="9" t="n">
        <v>46468</v>
      </c>
      <c r="B65" s="10" t="n">
        <v>11978945.25839544</v>
      </c>
      <c r="C65" s="10" t="n">
        <v>9831520.60938127</v>
      </c>
      <c r="D65" s="10" t="n">
        <v>937209.7999972831</v>
      </c>
      <c r="E65" s="10" t="n">
        <v>14532000</v>
      </c>
      <c r="F65" s="10" t="n">
        <v>4842181.219180024</v>
      </c>
      <c r="G65" s="10" t="n">
        <v>58127999.99999999</v>
      </c>
      <c r="H65" s="10" t="n">
        <v>502</v>
      </c>
      <c r="I65" s="10" t="n">
        <v>636</v>
      </c>
      <c r="J65" s="10" t="n">
        <v>9831520.60938127</v>
      </c>
      <c r="K65" s="10" t="n">
        <v>10379253.02527476</v>
      </c>
      <c r="L65" s="10" t="n">
        <v>14532000</v>
      </c>
      <c r="M65" s="10" t="n">
        <v>0</v>
      </c>
      <c r="N65" s="10" t="n">
        <v>0</v>
      </c>
      <c r="O65" s="10" t="n">
        <v>0</v>
      </c>
      <c r="P65" s="10" t="n">
        <v>0</v>
      </c>
      <c r="Q65" s="11">
        <f>IF($A65="","",IFERROR(C65/B65,0))</f>
        <v/>
      </c>
      <c r="R65" s="12">
        <f>IF($A65="","",MAX(I65-H65,0))</f>
        <v/>
      </c>
      <c r="S65" s="11">
        <f>IF($A65="","",IFERROR(C65/B65,0))</f>
        <v/>
      </c>
      <c r="T65" s="11">
        <f>IF($A65="","",IFERROR(D65/E65,0))</f>
        <v/>
      </c>
      <c r="U65" s="11">
        <f>IF($A65="","",IFERROR(F65/G65,0))</f>
        <v/>
      </c>
      <c r="V65" s="11">
        <f>IF($A65="","",IFERROR(H65/I65,0))</f>
        <v/>
      </c>
      <c r="W65" s="13">
        <f>IF($A65="","",IFERROR(J65/N65,0))</f>
        <v/>
      </c>
      <c r="X65" s="11">
        <f>IF($A65="","",IFERROR(K65/L65,0))</f>
        <v/>
      </c>
      <c r="Y65" s="13">
        <f>IF($A65="","",IFERROR(C65-O65,0))</f>
        <v/>
      </c>
      <c r="Z65" s="13">
        <f>IF($A65="","",IFERROR(O65/N65,0))</f>
        <v/>
      </c>
      <c r="AA65" s="11">
        <f>IF($A65="","",IFERROR(M65/G65,0))</f>
        <v/>
      </c>
    </row>
    <row r="66" ht="22" customHeight="1">
      <c r="A66" s="9" t="n">
        <v>46475</v>
      </c>
      <c r="B66" s="10" t="n">
        <v>11994813.50252821</v>
      </c>
      <c r="C66" s="10" t="n">
        <v>9898387.699586451</v>
      </c>
      <c r="D66" s="10" t="n">
        <v>1061666.377553419</v>
      </c>
      <c r="E66" s="10" t="n">
        <v>14595000</v>
      </c>
      <c r="F66" s="10" t="n">
        <v>5922129.293592421</v>
      </c>
      <c r="G66" s="10" t="n">
        <v>58380000.00000001</v>
      </c>
      <c r="H66" s="10" t="n">
        <v>513</v>
      </c>
      <c r="I66" s="10" t="n">
        <v>639</v>
      </c>
      <c r="J66" s="10" t="n">
        <v>9898387.699586451</v>
      </c>
      <c r="K66" s="10" t="n">
        <v>10354826.64783033</v>
      </c>
      <c r="L66" s="10" t="n">
        <v>14595000</v>
      </c>
      <c r="M66" s="10" t="n">
        <v>0</v>
      </c>
      <c r="N66" s="10" t="n">
        <v>0</v>
      </c>
      <c r="O66" s="10" t="n">
        <v>0</v>
      </c>
      <c r="P66" s="10" t="n">
        <v>0</v>
      </c>
      <c r="Q66" s="11">
        <f>IF($A66="","",IFERROR(C66/B66,0))</f>
        <v/>
      </c>
      <c r="R66" s="12">
        <f>IF($A66="","",MAX(I66-H66,0))</f>
        <v/>
      </c>
      <c r="S66" s="11">
        <f>IF($A66="","",IFERROR(C66/B66,0))</f>
        <v/>
      </c>
      <c r="T66" s="11">
        <f>IF($A66="","",IFERROR(D66/E66,0))</f>
        <v/>
      </c>
      <c r="U66" s="11">
        <f>IF($A66="","",IFERROR(F66/G66,0))</f>
        <v/>
      </c>
      <c r="V66" s="11">
        <f>IF($A66="","",IFERROR(H66/I66,0))</f>
        <v/>
      </c>
      <c r="W66" s="13">
        <f>IF($A66="","",IFERROR(J66/N66,0))</f>
        <v/>
      </c>
      <c r="X66" s="11">
        <f>IF($A66="","",IFERROR(K66/L66,0))</f>
        <v/>
      </c>
      <c r="Y66" s="13">
        <f>IF($A66="","",IFERROR(C66-O66,0))</f>
        <v/>
      </c>
      <c r="Z66" s="13">
        <f>IF($A66="","",IFERROR(O66/N66,0))</f>
        <v/>
      </c>
      <c r="AA66" s="11">
        <f>IF($A66="","",IFERROR(M66/G66,0))</f>
        <v/>
      </c>
    </row>
    <row r="67" ht="22" customHeight="1">
      <c r="A67" s="9" t="n">
        <v>46482</v>
      </c>
      <c r="B67" s="10" t="n">
        <v>11771910.44899102</v>
      </c>
      <c r="C67" s="10" t="n">
        <v>10158439.45640287</v>
      </c>
      <c r="D67" s="10" t="n">
        <v>1068263.680309642</v>
      </c>
      <c r="E67" s="10" t="n">
        <v>14658000</v>
      </c>
      <c r="F67" s="10" t="n">
        <v>4198074.972382447</v>
      </c>
      <c r="G67" s="10" t="n">
        <v>58631999.99999999</v>
      </c>
      <c r="H67" s="10" t="n">
        <v>531</v>
      </c>
      <c r="I67" s="10" t="n">
        <v>642</v>
      </c>
      <c r="J67" s="10" t="n">
        <v>10158439.45640287</v>
      </c>
      <c r="K67" s="10" t="n">
        <v>10546074.96777924</v>
      </c>
      <c r="L67" s="10" t="n">
        <v>14658000</v>
      </c>
      <c r="M67" s="10" t="n">
        <v>0</v>
      </c>
      <c r="N67" s="10" t="n">
        <v>0</v>
      </c>
      <c r="O67" s="10" t="n">
        <v>0</v>
      </c>
      <c r="P67" s="10" t="n">
        <v>0</v>
      </c>
      <c r="Q67" s="11">
        <f>IF($A67="","",IFERROR(C67/B67,0))</f>
        <v/>
      </c>
      <c r="R67" s="12">
        <f>IF($A67="","",MAX(I67-H67,0))</f>
        <v/>
      </c>
      <c r="S67" s="11">
        <f>IF($A67="","",IFERROR(C67/B67,0))</f>
        <v/>
      </c>
      <c r="T67" s="11">
        <f>IF($A67="","",IFERROR(D67/E67,0))</f>
        <v/>
      </c>
      <c r="U67" s="11">
        <f>IF($A67="","",IFERROR(F67/G67,0))</f>
        <v/>
      </c>
      <c r="V67" s="11">
        <f>IF($A67="","",IFERROR(H67/I67,0))</f>
        <v/>
      </c>
      <c r="W67" s="13">
        <f>IF($A67="","",IFERROR(J67/N67,0))</f>
        <v/>
      </c>
      <c r="X67" s="11">
        <f>IF($A67="","",IFERROR(K67/L67,0))</f>
        <v/>
      </c>
      <c r="Y67" s="13">
        <f>IF($A67="","",IFERROR(C67-O67,0))</f>
        <v/>
      </c>
      <c r="Z67" s="13">
        <f>IF($A67="","",IFERROR(O67/N67,0))</f>
        <v/>
      </c>
      <c r="AA67" s="11">
        <f>IF($A67="","",IFERROR(M67/G67,0))</f>
        <v/>
      </c>
    </row>
    <row r="68" ht="22" customHeight="1">
      <c r="A68" s="9" t="n">
        <v>46489</v>
      </c>
      <c r="B68" s="10" t="n">
        <v>11888352.11217355</v>
      </c>
      <c r="C68" s="10" t="n">
        <v>9827991.885768332</v>
      </c>
      <c r="D68" s="10" t="n">
        <v>778553.3841458347</v>
      </c>
      <c r="E68" s="10" t="n">
        <v>14721000</v>
      </c>
      <c r="F68" s="10" t="n">
        <v>5795296.846794152</v>
      </c>
      <c r="G68" s="10" t="n">
        <v>58884000.00000001</v>
      </c>
      <c r="H68" s="10" t="n">
        <v>509</v>
      </c>
      <c r="I68" s="10" t="n">
        <v>644</v>
      </c>
      <c r="J68" s="10" t="n">
        <v>9827991.885768332</v>
      </c>
      <c r="K68" s="10" t="n">
        <v>10327171.65304286</v>
      </c>
      <c r="L68" s="10" t="n">
        <v>14721000</v>
      </c>
      <c r="M68" s="10" t="n">
        <v>0</v>
      </c>
      <c r="N68" s="10" t="n">
        <v>0</v>
      </c>
      <c r="O68" s="10" t="n">
        <v>0</v>
      </c>
      <c r="P68" s="10" t="n">
        <v>0</v>
      </c>
      <c r="Q68" s="11">
        <f>IF($A68="","",IFERROR(C68/B68,0))</f>
        <v/>
      </c>
      <c r="R68" s="12">
        <f>IF($A68="","",MAX(I68-H68,0))</f>
        <v/>
      </c>
      <c r="S68" s="11">
        <f>IF($A68="","",IFERROR(C68/B68,0))</f>
        <v/>
      </c>
      <c r="T68" s="11">
        <f>IF($A68="","",IFERROR(D68/E68,0))</f>
        <v/>
      </c>
      <c r="U68" s="11">
        <f>IF($A68="","",IFERROR(F68/G68,0))</f>
        <v/>
      </c>
      <c r="V68" s="11">
        <f>IF($A68="","",IFERROR(H68/I68,0))</f>
        <v/>
      </c>
      <c r="W68" s="13">
        <f>IF($A68="","",IFERROR(J68/N68,0))</f>
        <v/>
      </c>
      <c r="X68" s="11">
        <f>IF($A68="","",IFERROR(K68/L68,0))</f>
        <v/>
      </c>
      <c r="Y68" s="13">
        <f>IF($A68="","",IFERROR(C68-O68,0))</f>
        <v/>
      </c>
      <c r="Z68" s="13">
        <f>IF($A68="","",IFERROR(O68/N68,0))</f>
        <v/>
      </c>
      <c r="AA68" s="11">
        <f>IF($A68="","",IFERROR(M68/G68,0))</f>
        <v/>
      </c>
    </row>
    <row r="69" ht="22" customHeight="1">
      <c r="A69" s="9" t="n">
        <v>46496</v>
      </c>
      <c r="B69" s="10" t="n">
        <v>11915755.67357568</v>
      </c>
      <c r="C69" s="10" t="n">
        <v>10185173.27205402</v>
      </c>
      <c r="D69" s="10" t="n">
        <v>1218397.371735499</v>
      </c>
      <c r="E69" s="10" t="n">
        <v>14784000</v>
      </c>
      <c r="F69" s="10" t="n">
        <v>5051664.745566526</v>
      </c>
      <c r="G69" s="10" t="n">
        <v>59136000</v>
      </c>
      <c r="H69" s="10" t="n">
        <v>541</v>
      </c>
      <c r="I69" s="10" t="n">
        <v>647</v>
      </c>
      <c r="J69" s="10" t="n">
        <v>10185173.27205402</v>
      </c>
      <c r="K69" s="10" t="n">
        <v>10614604.94140261</v>
      </c>
      <c r="L69" s="10" t="n">
        <v>14784000</v>
      </c>
      <c r="M69" s="10" t="n">
        <v>0</v>
      </c>
      <c r="N69" s="10" t="n">
        <v>0</v>
      </c>
      <c r="O69" s="10" t="n">
        <v>0</v>
      </c>
      <c r="P69" s="10" t="n">
        <v>0</v>
      </c>
      <c r="Q69" s="11">
        <f>IF($A69="","",IFERROR(C69/B69,0))</f>
        <v/>
      </c>
      <c r="R69" s="12">
        <f>IF($A69="","",MAX(I69-H69,0))</f>
        <v/>
      </c>
      <c r="S69" s="11">
        <f>IF($A69="","",IFERROR(C69/B69,0))</f>
        <v/>
      </c>
      <c r="T69" s="11">
        <f>IF($A69="","",IFERROR(D69/E69,0))</f>
        <v/>
      </c>
      <c r="U69" s="11">
        <f>IF($A69="","",IFERROR(F69/G69,0))</f>
        <v/>
      </c>
      <c r="V69" s="11">
        <f>IF($A69="","",IFERROR(H69/I69,0))</f>
        <v/>
      </c>
      <c r="W69" s="13">
        <f>IF($A69="","",IFERROR(J69/N69,0))</f>
        <v/>
      </c>
      <c r="X69" s="11">
        <f>IF($A69="","",IFERROR(K69/L69,0))</f>
        <v/>
      </c>
      <c r="Y69" s="13">
        <f>IF($A69="","",IFERROR(C69-O69,0))</f>
        <v/>
      </c>
      <c r="Z69" s="13">
        <f>IF($A69="","",IFERROR(O69/N69,0))</f>
        <v/>
      </c>
      <c r="AA69" s="11">
        <f>IF($A69="","",IFERROR(M69/G69,0))</f>
        <v/>
      </c>
    </row>
    <row r="70" ht="22" customHeight="1">
      <c r="A70" s="9" t="n">
        <v>46503</v>
      </c>
      <c r="B70" s="10" t="n">
        <v>12054025.19059475</v>
      </c>
      <c r="C70" s="10" t="n">
        <v>10437213.91700582</v>
      </c>
      <c r="D70" s="10" t="n">
        <v>1186466.297241887</v>
      </c>
      <c r="E70" s="10" t="n">
        <v>14847000</v>
      </c>
      <c r="F70" s="10" t="n">
        <v>6081447.272401843</v>
      </c>
      <c r="G70" s="10" t="n">
        <v>59388000.00000001</v>
      </c>
      <c r="H70" s="10" t="n">
        <v>528</v>
      </c>
      <c r="I70" s="10" t="n">
        <v>650</v>
      </c>
      <c r="J70" s="10" t="n">
        <v>10437213.91700582</v>
      </c>
      <c r="K70" s="10" t="n">
        <v>11029820.3555275</v>
      </c>
      <c r="L70" s="10" t="n">
        <v>14847000</v>
      </c>
      <c r="M70" s="10" t="n">
        <v>0</v>
      </c>
      <c r="N70" s="10" t="n">
        <v>0</v>
      </c>
      <c r="O70" s="10" t="n">
        <v>0</v>
      </c>
      <c r="P70" s="10" t="n">
        <v>0</v>
      </c>
      <c r="Q70" s="11">
        <f>IF($A70="","",IFERROR(C70/B70,0))</f>
        <v/>
      </c>
      <c r="R70" s="12">
        <f>IF($A70="","",MAX(I70-H70,0))</f>
        <v/>
      </c>
      <c r="S70" s="11">
        <f>IF($A70="","",IFERROR(C70/B70,0))</f>
        <v/>
      </c>
      <c r="T70" s="11">
        <f>IF($A70="","",IFERROR(D70/E70,0))</f>
        <v/>
      </c>
      <c r="U70" s="11">
        <f>IF($A70="","",IFERROR(F70/G70,0))</f>
        <v/>
      </c>
      <c r="V70" s="11">
        <f>IF($A70="","",IFERROR(H70/I70,0))</f>
        <v/>
      </c>
      <c r="W70" s="13">
        <f>IF($A70="","",IFERROR(J70/N70,0))</f>
        <v/>
      </c>
      <c r="X70" s="11">
        <f>IF($A70="","",IFERROR(K70/L70,0))</f>
        <v/>
      </c>
      <c r="Y70" s="13">
        <f>IF($A70="","",IFERROR(C70-O70,0))</f>
        <v/>
      </c>
      <c r="Z70" s="13">
        <f>IF($A70="","",IFERROR(O70/N70,0))</f>
        <v/>
      </c>
      <c r="AA70" s="11">
        <f>IF($A70="","",IFERROR(M70/G70,0))</f>
        <v/>
      </c>
    </row>
    <row r="71" ht="22" customHeight="1">
      <c r="A71" s="9" t="n">
        <v>46510</v>
      </c>
      <c r="B71" s="10" t="n">
        <v>12163233.80820437</v>
      </c>
      <c r="C71" s="10" t="n">
        <v>10142759.240113</v>
      </c>
      <c r="D71" s="10" t="n">
        <v>1234000.44818153</v>
      </c>
      <c r="E71" s="10" t="n">
        <v>14910000</v>
      </c>
      <c r="F71" s="10" t="n">
        <v>5453594.038870393</v>
      </c>
      <c r="G71" s="10" t="n">
        <v>59640000</v>
      </c>
      <c r="H71" s="10" t="n">
        <v>565</v>
      </c>
      <c r="I71" s="10" t="n">
        <v>653</v>
      </c>
      <c r="J71" s="10" t="n">
        <v>10142759.240113</v>
      </c>
      <c r="K71" s="10" t="n">
        <v>10786668.62956081</v>
      </c>
      <c r="L71" s="10" t="n">
        <v>14910000</v>
      </c>
      <c r="M71" s="10" t="n">
        <v>0</v>
      </c>
      <c r="N71" s="10" t="n">
        <v>0</v>
      </c>
      <c r="O71" s="10" t="n">
        <v>0</v>
      </c>
      <c r="P71" s="10" t="n">
        <v>0</v>
      </c>
      <c r="Q71" s="11">
        <f>IF($A71="","",IFERROR(C71/B71,0))</f>
        <v/>
      </c>
      <c r="R71" s="12">
        <f>IF($A71="","",MAX(I71-H71,0))</f>
        <v/>
      </c>
      <c r="S71" s="11">
        <f>IF($A71="","",IFERROR(C71/B71,0))</f>
        <v/>
      </c>
      <c r="T71" s="11">
        <f>IF($A71="","",IFERROR(D71/E71,0))</f>
        <v/>
      </c>
      <c r="U71" s="11">
        <f>IF($A71="","",IFERROR(F71/G71,0))</f>
        <v/>
      </c>
      <c r="V71" s="11">
        <f>IF($A71="","",IFERROR(H71/I71,0))</f>
        <v/>
      </c>
      <c r="W71" s="13">
        <f>IF($A71="","",IFERROR(J71/N71,0))</f>
        <v/>
      </c>
      <c r="X71" s="11">
        <f>IF($A71="","",IFERROR(K71/L71,0))</f>
        <v/>
      </c>
      <c r="Y71" s="13">
        <f>IF($A71="","",IFERROR(C71-O71,0))</f>
        <v/>
      </c>
      <c r="Z71" s="13">
        <f>IF($A71="","",IFERROR(O71/N71,0))</f>
        <v/>
      </c>
      <c r="AA71" s="11">
        <f>IF($A71="","",IFERROR(M71/G71,0))</f>
        <v/>
      </c>
    </row>
    <row r="72" ht="22" customHeight="1">
      <c r="A72" s="9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1">
        <f>IF($A72="","",IFERROR(C72/B72,0))</f>
        <v/>
      </c>
      <c r="R72" s="12">
        <f>IF($A72="","",MAX(I72-H72,0))</f>
        <v/>
      </c>
      <c r="S72" s="11">
        <f>IF($A72="","",IFERROR(C72/B72,0))</f>
        <v/>
      </c>
      <c r="T72" s="11">
        <f>IF($A72="","",IFERROR(D72/E72,0))</f>
        <v/>
      </c>
      <c r="U72" s="11">
        <f>IF($A72="","",IFERROR(F72/G72,0))</f>
        <v/>
      </c>
      <c r="V72" s="11">
        <f>IF($A72="","",IFERROR(H72/I72,0))</f>
        <v/>
      </c>
      <c r="W72" s="13">
        <f>IF($A72="","",IFERROR(J72/N72,0))</f>
        <v/>
      </c>
      <c r="X72" s="11">
        <f>IF($A72="","",IFERROR(K72/L72,0))</f>
        <v/>
      </c>
      <c r="Y72" s="13">
        <f>IF($A72="","",IFERROR(C72-O72,0))</f>
        <v/>
      </c>
      <c r="Z72" s="13">
        <f>IF($A72="","",IFERROR(O72/N72,0))</f>
        <v/>
      </c>
      <c r="AA72" s="11">
        <f>IF($A72="","",IFERROR(M72/G72,0))</f>
        <v/>
      </c>
    </row>
    <row r="73" ht="22" customHeight="1">
      <c r="A73" s="9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1">
        <f>IF($A73="","",IFERROR(C73/B73,0))</f>
        <v/>
      </c>
      <c r="R73" s="12">
        <f>IF($A73="","",MAX(I73-H73,0))</f>
        <v/>
      </c>
      <c r="S73" s="11">
        <f>IF($A73="","",IFERROR(C73/B73,0))</f>
        <v/>
      </c>
      <c r="T73" s="11">
        <f>IF($A73="","",IFERROR(D73/E73,0))</f>
        <v/>
      </c>
      <c r="U73" s="11">
        <f>IF($A73="","",IFERROR(F73/G73,0))</f>
        <v/>
      </c>
      <c r="V73" s="11">
        <f>IF($A73="","",IFERROR(H73/I73,0))</f>
        <v/>
      </c>
      <c r="W73" s="13">
        <f>IF($A73="","",IFERROR(J73/N73,0))</f>
        <v/>
      </c>
      <c r="X73" s="11">
        <f>IF($A73="","",IFERROR(K73/L73,0))</f>
        <v/>
      </c>
      <c r="Y73" s="13">
        <f>IF($A73="","",IFERROR(C73-O73,0))</f>
        <v/>
      </c>
      <c r="Z73" s="13">
        <f>IF($A73="","",IFERROR(O73/N73,0))</f>
        <v/>
      </c>
      <c r="AA73" s="11">
        <f>IF($A73="","",IFERROR(M73/G73,0))</f>
        <v/>
      </c>
    </row>
    <row r="74" ht="22" customHeight="1">
      <c r="A74" s="9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1">
        <f>IF($A74="","",IFERROR(C74/B74,0))</f>
        <v/>
      </c>
      <c r="R74" s="12">
        <f>IF($A74="","",MAX(I74-H74,0))</f>
        <v/>
      </c>
      <c r="S74" s="11">
        <f>IF($A74="","",IFERROR(C74/B74,0))</f>
        <v/>
      </c>
      <c r="T74" s="11">
        <f>IF($A74="","",IFERROR(D74/E74,0))</f>
        <v/>
      </c>
      <c r="U74" s="11">
        <f>IF($A74="","",IFERROR(F74/G74,0))</f>
        <v/>
      </c>
      <c r="V74" s="11">
        <f>IF($A74="","",IFERROR(H74/I74,0))</f>
        <v/>
      </c>
      <c r="W74" s="13">
        <f>IF($A74="","",IFERROR(J74/N74,0))</f>
        <v/>
      </c>
      <c r="X74" s="11">
        <f>IF($A74="","",IFERROR(K74/L74,0))</f>
        <v/>
      </c>
      <c r="Y74" s="13">
        <f>IF($A74="","",IFERROR(C74-O74,0))</f>
        <v/>
      </c>
      <c r="Z74" s="13">
        <f>IF($A74="","",IFERROR(O74/N74,0))</f>
        <v/>
      </c>
      <c r="AA74" s="11">
        <f>IF($A74="","",IFERROR(M74/G74,0))</f>
        <v/>
      </c>
    </row>
    <row r="75" ht="22" customHeight="1">
      <c r="A75" s="9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1">
        <f>IF($A75="","",IFERROR(C75/B75,0))</f>
        <v/>
      </c>
      <c r="R75" s="12">
        <f>IF($A75="","",MAX(I75-H75,0))</f>
        <v/>
      </c>
      <c r="S75" s="11">
        <f>IF($A75="","",IFERROR(C75/B75,0))</f>
        <v/>
      </c>
      <c r="T75" s="11">
        <f>IF($A75="","",IFERROR(D75/E75,0))</f>
        <v/>
      </c>
      <c r="U75" s="11">
        <f>IF($A75="","",IFERROR(F75/G75,0))</f>
        <v/>
      </c>
      <c r="V75" s="11">
        <f>IF($A75="","",IFERROR(H75/I75,0))</f>
        <v/>
      </c>
      <c r="W75" s="13">
        <f>IF($A75="","",IFERROR(J75/N75,0))</f>
        <v/>
      </c>
      <c r="X75" s="11">
        <f>IF($A75="","",IFERROR(K75/L75,0))</f>
        <v/>
      </c>
      <c r="Y75" s="13">
        <f>IF($A75="","",IFERROR(C75-O75,0))</f>
        <v/>
      </c>
      <c r="Z75" s="13">
        <f>IF($A75="","",IFERROR(O75/N75,0))</f>
        <v/>
      </c>
      <c r="AA75" s="11">
        <f>IF($A75="","",IFERROR(M75/G75,0))</f>
        <v/>
      </c>
    </row>
    <row r="76" ht="22" customHeight="1">
      <c r="A76" s="9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1">
        <f>IF($A76="","",IFERROR(C76/B76,0))</f>
        <v/>
      </c>
      <c r="R76" s="12">
        <f>IF($A76="","",MAX(I76-H76,0))</f>
        <v/>
      </c>
      <c r="S76" s="11">
        <f>IF($A76="","",IFERROR(C76/B76,0))</f>
        <v/>
      </c>
      <c r="T76" s="11">
        <f>IF($A76="","",IFERROR(D76/E76,0))</f>
        <v/>
      </c>
      <c r="U76" s="11">
        <f>IF($A76="","",IFERROR(F76/G76,0))</f>
        <v/>
      </c>
      <c r="V76" s="11">
        <f>IF($A76="","",IFERROR(H76/I76,0))</f>
        <v/>
      </c>
      <c r="W76" s="13">
        <f>IF($A76="","",IFERROR(J76/N76,0))</f>
        <v/>
      </c>
      <c r="X76" s="11">
        <f>IF($A76="","",IFERROR(K76/L76,0))</f>
        <v/>
      </c>
      <c r="Y76" s="13">
        <f>IF($A76="","",IFERROR(C76-O76,0))</f>
        <v/>
      </c>
      <c r="Z76" s="13">
        <f>IF($A76="","",IFERROR(O76/N76,0))</f>
        <v/>
      </c>
      <c r="AA76" s="11">
        <f>IF($A76="","",IFERROR(M76/G76,0))</f>
        <v/>
      </c>
    </row>
    <row r="77" ht="22" customHeight="1">
      <c r="A77" s="9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1">
        <f>IF($A77="","",IFERROR(C77/B77,0))</f>
        <v/>
      </c>
      <c r="R77" s="12">
        <f>IF($A77="","",MAX(I77-H77,0))</f>
        <v/>
      </c>
      <c r="S77" s="11">
        <f>IF($A77="","",IFERROR(C77/B77,0))</f>
        <v/>
      </c>
      <c r="T77" s="11">
        <f>IF($A77="","",IFERROR(D77/E77,0))</f>
        <v/>
      </c>
      <c r="U77" s="11">
        <f>IF($A77="","",IFERROR(F77/G77,0))</f>
        <v/>
      </c>
      <c r="V77" s="11">
        <f>IF($A77="","",IFERROR(H77/I77,0))</f>
        <v/>
      </c>
      <c r="W77" s="13">
        <f>IF($A77="","",IFERROR(J77/N77,0))</f>
        <v/>
      </c>
      <c r="X77" s="11">
        <f>IF($A77="","",IFERROR(K77/L77,0))</f>
        <v/>
      </c>
      <c r="Y77" s="13">
        <f>IF($A77="","",IFERROR(C77-O77,0))</f>
        <v/>
      </c>
      <c r="Z77" s="13">
        <f>IF($A77="","",IFERROR(O77/N77,0))</f>
        <v/>
      </c>
      <c r="AA77" s="11">
        <f>IF($A77="","",IFERROR(M77/G77,0))</f>
        <v/>
      </c>
    </row>
    <row r="78" ht="22" customHeight="1">
      <c r="A78" s="9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1">
        <f>IF($A78="","",IFERROR(C78/B78,0))</f>
        <v/>
      </c>
      <c r="R78" s="12">
        <f>IF($A78="","",MAX(I78-H78,0))</f>
        <v/>
      </c>
      <c r="S78" s="11">
        <f>IF($A78="","",IFERROR(C78/B78,0))</f>
        <v/>
      </c>
      <c r="T78" s="11">
        <f>IF($A78="","",IFERROR(D78/E78,0))</f>
        <v/>
      </c>
      <c r="U78" s="11">
        <f>IF($A78="","",IFERROR(F78/G78,0))</f>
        <v/>
      </c>
      <c r="V78" s="11">
        <f>IF($A78="","",IFERROR(H78/I78,0))</f>
        <v/>
      </c>
      <c r="W78" s="13">
        <f>IF($A78="","",IFERROR(J78/N78,0))</f>
        <v/>
      </c>
      <c r="X78" s="11">
        <f>IF($A78="","",IFERROR(K78/L78,0))</f>
        <v/>
      </c>
      <c r="Y78" s="13">
        <f>IF($A78="","",IFERROR(C78-O78,0))</f>
        <v/>
      </c>
      <c r="Z78" s="13">
        <f>IF($A78="","",IFERROR(O78/N78,0))</f>
        <v/>
      </c>
      <c r="AA78" s="11">
        <f>IF($A78="","",IFERROR(M78/G78,0))</f>
        <v/>
      </c>
    </row>
    <row r="79" ht="22" customHeight="1">
      <c r="A79" s="9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1">
        <f>IF($A79="","",IFERROR(C79/B79,0))</f>
        <v/>
      </c>
      <c r="R79" s="12">
        <f>IF($A79="","",MAX(I79-H79,0))</f>
        <v/>
      </c>
      <c r="S79" s="11">
        <f>IF($A79="","",IFERROR(C79/B79,0))</f>
        <v/>
      </c>
      <c r="T79" s="11">
        <f>IF($A79="","",IFERROR(D79/E79,0))</f>
        <v/>
      </c>
      <c r="U79" s="11">
        <f>IF($A79="","",IFERROR(F79/G79,0))</f>
        <v/>
      </c>
      <c r="V79" s="11">
        <f>IF($A79="","",IFERROR(H79/I79,0))</f>
        <v/>
      </c>
      <c r="W79" s="13">
        <f>IF($A79="","",IFERROR(J79/N79,0))</f>
        <v/>
      </c>
      <c r="X79" s="11">
        <f>IF($A79="","",IFERROR(K79/L79,0))</f>
        <v/>
      </c>
      <c r="Y79" s="13">
        <f>IF($A79="","",IFERROR(C79-O79,0))</f>
        <v/>
      </c>
      <c r="Z79" s="13">
        <f>IF($A79="","",IFERROR(O79/N79,0))</f>
        <v/>
      </c>
      <c r="AA79" s="11">
        <f>IF($A79="","",IFERROR(M79/G79,0))</f>
        <v/>
      </c>
    </row>
    <row r="80" ht="22" customHeight="1">
      <c r="A80" s="9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1">
        <f>IF($A80="","",IFERROR(C80/B80,0))</f>
        <v/>
      </c>
      <c r="R80" s="12">
        <f>IF($A80="","",MAX(I80-H80,0))</f>
        <v/>
      </c>
      <c r="S80" s="11">
        <f>IF($A80="","",IFERROR(C80/B80,0))</f>
        <v/>
      </c>
      <c r="T80" s="11">
        <f>IF($A80="","",IFERROR(D80/E80,0))</f>
        <v/>
      </c>
      <c r="U80" s="11">
        <f>IF($A80="","",IFERROR(F80/G80,0))</f>
        <v/>
      </c>
      <c r="V80" s="11">
        <f>IF($A80="","",IFERROR(H80/I80,0))</f>
        <v/>
      </c>
      <c r="W80" s="13">
        <f>IF($A80="","",IFERROR(J80/N80,0))</f>
        <v/>
      </c>
      <c r="X80" s="11">
        <f>IF($A80="","",IFERROR(K80/L80,0))</f>
        <v/>
      </c>
      <c r="Y80" s="13">
        <f>IF($A80="","",IFERROR(C80-O80,0))</f>
        <v/>
      </c>
      <c r="Z80" s="13">
        <f>IF($A80="","",IFERROR(O80/N80,0))</f>
        <v/>
      </c>
      <c r="AA80" s="11">
        <f>IF($A80="","",IFERROR(M80/G80,0))</f>
        <v/>
      </c>
    </row>
    <row r="81" ht="22" customHeight="1">
      <c r="A81" s="9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1">
        <f>IF($A81="","",IFERROR(C81/B81,0))</f>
        <v/>
      </c>
      <c r="R81" s="12">
        <f>IF($A81="","",MAX(I81-H81,0))</f>
        <v/>
      </c>
      <c r="S81" s="11">
        <f>IF($A81="","",IFERROR(C81/B81,0))</f>
        <v/>
      </c>
      <c r="T81" s="11">
        <f>IF($A81="","",IFERROR(D81/E81,0))</f>
        <v/>
      </c>
      <c r="U81" s="11">
        <f>IF($A81="","",IFERROR(F81/G81,0))</f>
        <v/>
      </c>
      <c r="V81" s="11">
        <f>IF($A81="","",IFERROR(H81/I81,0))</f>
        <v/>
      </c>
      <c r="W81" s="13">
        <f>IF($A81="","",IFERROR(J81/N81,0))</f>
        <v/>
      </c>
      <c r="X81" s="11">
        <f>IF($A81="","",IFERROR(K81/L81,0))</f>
        <v/>
      </c>
      <c r="Y81" s="13">
        <f>IF($A81="","",IFERROR(C81-O81,0))</f>
        <v/>
      </c>
      <c r="Z81" s="13">
        <f>IF($A81="","",IFERROR(O81/N81,0))</f>
        <v/>
      </c>
      <c r="AA81" s="11">
        <f>IF($A81="","",IFERROR(M81/G81,0))</f>
        <v/>
      </c>
    </row>
    <row r="82" ht="22" customHeight="1">
      <c r="A82" s="9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1">
        <f>IF($A82="","",IFERROR(C82/B82,0))</f>
        <v/>
      </c>
      <c r="R82" s="12">
        <f>IF($A82="","",MAX(I82-H82,0))</f>
        <v/>
      </c>
      <c r="S82" s="11">
        <f>IF($A82="","",IFERROR(C82/B82,0))</f>
        <v/>
      </c>
      <c r="T82" s="11">
        <f>IF($A82="","",IFERROR(D82/E82,0))</f>
        <v/>
      </c>
      <c r="U82" s="11">
        <f>IF($A82="","",IFERROR(F82/G82,0))</f>
        <v/>
      </c>
      <c r="V82" s="11">
        <f>IF($A82="","",IFERROR(H82/I82,0))</f>
        <v/>
      </c>
      <c r="W82" s="13">
        <f>IF($A82="","",IFERROR(J82/N82,0))</f>
        <v/>
      </c>
      <c r="X82" s="11">
        <f>IF($A82="","",IFERROR(K82/L82,0))</f>
        <v/>
      </c>
      <c r="Y82" s="13">
        <f>IF($A82="","",IFERROR(C82-O82,0))</f>
        <v/>
      </c>
      <c r="Z82" s="13">
        <f>IF($A82="","",IFERROR(O82/N82,0))</f>
        <v/>
      </c>
      <c r="AA82" s="11">
        <f>IF($A82="","",IFERROR(M82/G82,0))</f>
        <v/>
      </c>
    </row>
    <row r="83" ht="22" customHeight="1">
      <c r="A83" s="9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1">
        <f>IF($A83="","",IFERROR(C83/B83,0))</f>
        <v/>
      </c>
      <c r="R83" s="12">
        <f>IF($A83="","",MAX(I83-H83,0))</f>
        <v/>
      </c>
      <c r="S83" s="11">
        <f>IF($A83="","",IFERROR(C83/B83,0))</f>
        <v/>
      </c>
      <c r="T83" s="11">
        <f>IF($A83="","",IFERROR(D83/E83,0))</f>
        <v/>
      </c>
      <c r="U83" s="11">
        <f>IF($A83="","",IFERROR(F83/G83,0))</f>
        <v/>
      </c>
      <c r="V83" s="11">
        <f>IF($A83="","",IFERROR(H83/I83,0))</f>
        <v/>
      </c>
      <c r="W83" s="13">
        <f>IF($A83="","",IFERROR(J83/N83,0))</f>
        <v/>
      </c>
      <c r="X83" s="11">
        <f>IF($A83="","",IFERROR(K83/L83,0))</f>
        <v/>
      </c>
      <c r="Y83" s="13">
        <f>IF($A83="","",IFERROR(C83-O83,0))</f>
        <v/>
      </c>
      <c r="Z83" s="13">
        <f>IF($A83="","",IFERROR(O83/N83,0))</f>
        <v/>
      </c>
      <c r="AA83" s="11">
        <f>IF($A83="","",IFERROR(M83/G83,0))</f>
        <v/>
      </c>
    </row>
    <row r="84" ht="22" customHeight="1">
      <c r="A84" s="9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1">
        <f>IF($A84="","",IFERROR(C84/B84,0))</f>
        <v/>
      </c>
      <c r="R84" s="12">
        <f>IF($A84="","",MAX(I84-H84,0))</f>
        <v/>
      </c>
      <c r="S84" s="11">
        <f>IF($A84="","",IFERROR(C84/B84,0))</f>
        <v/>
      </c>
      <c r="T84" s="11">
        <f>IF($A84="","",IFERROR(D84/E84,0))</f>
        <v/>
      </c>
      <c r="U84" s="11">
        <f>IF($A84="","",IFERROR(F84/G84,0))</f>
        <v/>
      </c>
      <c r="V84" s="11">
        <f>IF($A84="","",IFERROR(H84/I84,0))</f>
        <v/>
      </c>
      <c r="W84" s="13">
        <f>IF($A84="","",IFERROR(J84/N84,0))</f>
        <v/>
      </c>
      <c r="X84" s="11">
        <f>IF($A84="","",IFERROR(K84/L84,0))</f>
        <v/>
      </c>
      <c r="Y84" s="13">
        <f>IF($A84="","",IFERROR(C84-O84,0))</f>
        <v/>
      </c>
      <c r="Z84" s="13">
        <f>IF($A84="","",IFERROR(O84/N84,0))</f>
        <v/>
      </c>
      <c r="AA84" s="11">
        <f>IF($A84="","",IFERROR(M84/G84,0))</f>
        <v/>
      </c>
    </row>
    <row r="85" ht="22" customHeight="1">
      <c r="A85" s="9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1">
        <f>IF($A85="","",IFERROR(C85/B85,0))</f>
        <v/>
      </c>
      <c r="R85" s="12">
        <f>IF($A85="","",MAX(I85-H85,0))</f>
        <v/>
      </c>
      <c r="S85" s="11">
        <f>IF($A85="","",IFERROR(C85/B85,0))</f>
        <v/>
      </c>
      <c r="T85" s="11">
        <f>IF($A85="","",IFERROR(D85/E85,0))</f>
        <v/>
      </c>
      <c r="U85" s="11">
        <f>IF($A85="","",IFERROR(F85/G85,0))</f>
        <v/>
      </c>
      <c r="V85" s="11">
        <f>IF($A85="","",IFERROR(H85/I85,0))</f>
        <v/>
      </c>
      <c r="W85" s="13">
        <f>IF($A85="","",IFERROR(J85/N85,0))</f>
        <v/>
      </c>
      <c r="X85" s="11">
        <f>IF($A85="","",IFERROR(K85/L85,0))</f>
        <v/>
      </c>
      <c r="Y85" s="13">
        <f>IF($A85="","",IFERROR(C85-O85,0))</f>
        <v/>
      </c>
      <c r="Z85" s="13">
        <f>IF($A85="","",IFERROR(O85/N85,0))</f>
        <v/>
      </c>
      <c r="AA85" s="11">
        <f>IF($A85="","",IFERROR(M85/G85,0))</f>
        <v/>
      </c>
    </row>
    <row r="86" ht="22" customHeight="1">
      <c r="A86" s="9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1">
        <f>IF($A86="","",IFERROR(C86/B86,0))</f>
        <v/>
      </c>
      <c r="R86" s="12">
        <f>IF($A86="","",MAX(I86-H86,0))</f>
        <v/>
      </c>
      <c r="S86" s="11">
        <f>IF($A86="","",IFERROR(C86/B86,0))</f>
        <v/>
      </c>
      <c r="T86" s="11">
        <f>IF($A86="","",IFERROR(D86/E86,0))</f>
        <v/>
      </c>
      <c r="U86" s="11">
        <f>IF($A86="","",IFERROR(F86/G86,0))</f>
        <v/>
      </c>
      <c r="V86" s="11">
        <f>IF($A86="","",IFERROR(H86/I86,0))</f>
        <v/>
      </c>
      <c r="W86" s="13">
        <f>IF($A86="","",IFERROR(J86/N86,0))</f>
        <v/>
      </c>
      <c r="X86" s="11">
        <f>IF($A86="","",IFERROR(K86/L86,0))</f>
        <v/>
      </c>
      <c r="Y86" s="13">
        <f>IF($A86="","",IFERROR(C86-O86,0))</f>
        <v/>
      </c>
      <c r="Z86" s="13">
        <f>IF($A86="","",IFERROR(O86/N86,0))</f>
        <v/>
      </c>
      <c r="AA86" s="11">
        <f>IF($A86="","",IFERROR(M86/G86,0))</f>
        <v/>
      </c>
    </row>
    <row r="87" ht="22" customHeight="1">
      <c r="A87" s="9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1">
        <f>IF($A87="","",IFERROR(C87/B87,0))</f>
        <v/>
      </c>
      <c r="R87" s="12">
        <f>IF($A87="","",MAX(I87-H87,0))</f>
        <v/>
      </c>
      <c r="S87" s="11">
        <f>IF($A87="","",IFERROR(C87/B87,0))</f>
        <v/>
      </c>
      <c r="T87" s="11">
        <f>IF($A87="","",IFERROR(D87/E87,0))</f>
        <v/>
      </c>
      <c r="U87" s="11">
        <f>IF($A87="","",IFERROR(F87/G87,0))</f>
        <v/>
      </c>
      <c r="V87" s="11">
        <f>IF($A87="","",IFERROR(H87/I87,0))</f>
        <v/>
      </c>
      <c r="W87" s="13">
        <f>IF($A87="","",IFERROR(J87/N87,0))</f>
        <v/>
      </c>
      <c r="X87" s="11">
        <f>IF($A87="","",IFERROR(K87/L87,0))</f>
        <v/>
      </c>
      <c r="Y87" s="13">
        <f>IF($A87="","",IFERROR(C87-O87,0))</f>
        <v/>
      </c>
      <c r="Z87" s="13">
        <f>IF($A87="","",IFERROR(O87/N87,0))</f>
        <v/>
      </c>
      <c r="AA87" s="11">
        <f>IF($A87="","",IFERROR(M87/G87,0))</f>
        <v/>
      </c>
    </row>
    <row r="88" ht="22" customHeight="1">
      <c r="A88" s="9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1">
        <f>IF($A88="","",IFERROR(C88/B88,0))</f>
        <v/>
      </c>
      <c r="R88" s="12">
        <f>IF($A88="","",MAX(I88-H88,0))</f>
        <v/>
      </c>
      <c r="S88" s="11">
        <f>IF($A88="","",IFERROR(C88/B88,0))</f>
        <v/>
      </c>
      <c r="T88" s="11">
        <f>IF($A88="","",IFERROR(D88/E88,0))</f>
        <v/>
      </c>
      <c r="U88" s="11">
        <f>IF($A88="","",IFERROR(F88/G88,0))</f>
        <v/>
      </c>
      <c r="V88" s="11">
        <f>IF($A88="","",IFERROR(H88/I88,0))</f>
        <v/>
      </c>
      <c r="W88" s="13">
        <f>IF($A88="","",IFERROR(J88/N88,0))</f>
        <v/>
      </c>
      <c r="X88" s="11">
        <f>IF($A88="","",IFERROR(K88/L88,0))</f>
        <v/>
      </c>
      <c r="Y88" s="13">
        <f>IF($A88="","",IFERROR(C88-O88,0))</f>
        <v/>
      </c>
      <c r="Z88" s="13">
        <f>IF($A88="","",IFERROR(O88/N88,0))</f>
        <v/>
      </c>
      <c r="AA88" s="11">
        <f>IF($A88="","",IFERROR(M88/G88,0))</f>
        <v/>
      </c>
    </row>
    <row r="89" ht="22" customHeight="1">
      <c r="A89" s="9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1">
        <f>IF($A89="","",IFERROR(C89/B89,0))</f>
        <v/>
      </c>
      <c r="R89" s="12">
        <f>IF($A89="","",MAX(I89-H89,0))</f>
        <v/>
      </c>
      <c r="S89" s="11">
        <f>IF($A89="","",IFERROR(C89/B89,0))</f>
        <v/>
      </c>
      <c r="T89" s="11">
        <f>IF($A89="","",IFERROR(D89/E89,0))</f>
        <v/>
      </c>
      <c r="U89" s="11">
        <f>IF($A89="","",IFERROR(F89/G89,0))</f>
        <v/>
      </c>
      <c r="V89" s="11">
        <f>IF($A89="","",IFERROR(H89/I89,0))</f>
        <v/>
      </c>
      <c r="W89" s="13">
        <f>IF($A89="","",IFERROR(J89/N89,0))</f>
        <v/>
      </c>
      <c r="X89" s="11">
        <f>IF($A89="","",IFERROR(K89/L89,0))</f>
        <v/>
      </c>
      <c r="Y89" s="13">
        <f>IF($A89="","",IFERROR(C89-O89,0))</f>
        <v/>
      </c>
      <c r="Z89" s="13">
        <f>IF($A89="","",IFERROR(O89/N89,0))</f>
        <v/>
      </c>
      <c r="AA89" s="11">
        <f>IF($A89="","",IFERROR(M89/G89,0))</f>
        <v/>
      </c>
    </row>
    <row r="90" ht="22" customHeight="1">
      <c r="A90" s="9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1">
        <f>IF($A90="","",IFERROR(C90/B90,0))</f>
        <v/>
      </c>
      <c r="R90" s="12">
        <f>IF($A90="","",MAX(I90-H90,0))</f>
        <v/>
      </c>
      <c r="S90" s="11">
        <f>IF($A90="","",IFERROR(C90/B90,0))</f>
        <v/>
      </c>
      <c r="T90" s="11">
        <f>IF($A90="","",IFERROR(D90/E90,0))</f>
        <v/>
      </c>
      <c r="U90" s="11">
        <f>IF($A90="","",IFERROR(F90/G90,0))</f>
        <v/>
      </c>
      <c r="V90" s="11">
        <f>IF($A90="","",IFERROR(H90/I90,0))</f>
        <v/>
      </c>
      <c r="W90" s="13">
        <f>IF($A90="","",IFERROR(J90/N90,0))</f>
        <v/>
      </c>
      <c r="X90" s="11">
        <f>IF($A90="","",IFERROR(K90/L90,0))</f>
        <v/>
      </c>
      <c r="Y90" s="13">
        <f>IF($A90="","",IFERROR(C90-O90,0))</f>
        <v/>
      </c>
      <c r="Z90" s="13">
        <f>IF($A90="","",IFERROR(O90/N90,0))</f>
        <v/>
      </c>
      <c r="AA90" s="11">
        <f>IF($A90="","",IFERROR(M90/G90,0))</f>
        <v/>
      </c>
    </row>
    <row r="91" ht="22" customHeight="1">
      <c r="A91" s="9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1">
        <f>IF($A91="","",IFERROR(C91/B91,0))</f>
        <v/>
      </c>
      <c r="R91" s="12">
        <f>IF($A91="","",MAX(I91-H91,0))</f>
        <v/>
      </c>
      <c r="S91" s="11">
        <f>IF($A91="","",IFERROR(C91/B91,0))</f>
        <v/>
      </c>
      <c r="T91" s="11">
        <f>IF($A91="","",IFERROR(D91/E91,0))</f>
        <v/>
      </c>
      <c r="U91" s="11">
        <f>IF($A91="","",IFERROR(F91/G91,0))</f>
        <v/>
      </c>
      <c r="V91" s="11">
        <f>IF($A91="","",IFERROR(H91/I91,0))</f>
        <v/>
      </c>
      <c r="W91" s="13">
        <f>IF($A91="","",IFERROR(J91/N91,0))</f>
        <v/>
      </c>
      <c r="X91" s="11">
        <f>IF($A91="","",IFERROR(K91/L91,0))</f>
        <v/>
      </c>
      <c r="Y91" s="13">
        <f>IF($A91="","",IFERROR(C91-O91,0))</f>
        <v/>
      </c>
      <c r="Z91" s="13">
        <f>IF($A91="","",IFERROR(O91/N91,0))</f>
        <v/>
      </c>
      <c r="AA91" s="11">
        <f>IF($A91="","",IFERROR(M91/G91,0))</f>
        <v/>
      </c>
    </row>
    <row r="92" ht="22" customHeight="1">
      <c r="A92" s="9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1">
        <f>IF($A92="","",IFERROR(C92/B92,0))</f>
        <v/>
      </c>
      <c r="R92" s="12">
        <f>IF($A92="","",MAX(I92-H92,0))</f>
        <v/>
      </c>
      <c r="S92" s="11">
        <f>IF($A92="","",IFERROR(C92/B92,0))</f>
        <v/>
      </c>
      <c r="T92" s="11">
        <f>IF($A92="","",IFERROR(D92/E92,0))</f>
        <v/>
      </c>
      <c r="U92" s="11">
        <f>IF($A92="","",IFERROR(F92/G92,0))</f>
        <v/>
      </c>
      <c r="V92" s="11">
        <f>IF($A92="","",IFERROR(H92/I92,0))</f>
        <v/>
      </c>
      <c r="W92" s="13">
        <f>IF($A92="","",IFERROR(J92/N92,0))</f>
        <v/>
      </c>
      <c r="X92" s="11">
        <f>IF($A92="","",IFERROR(K92/L92,0))</f>
        <v/>
      </c>
      <c r="Y92" s="13">
        <f>IF($A92="","",IFERROR(C92-O92,0))</f>
        <v/>
      </c>
      <c r="Z92" s="13">
        <f>IF($A92="","",IFERROR(O92/N92,0))</f>
        <v/>
      </c>
      <c r="AA92" s="11">
        <f>IF($A92="","",IFERROR(M92/G92,0))</f>
        <v/>
      </c>
    </row>
    <row r="93" ht="22" customHeight="1">
      <c r="A93" s="9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1">
        <f>IF($A93="","",IFERROR(C93/B93,0))</f>
        <v/>
      </c>
      <c r="R93" s="12">
        <f>IF($A93="","",MAX(I93-H93,0))</f>
        <v/>
      </c>
      <c r="S93" s="11">
        <f>IF($A93="","",IFERROR(C93/B93,0))</f>
        <v/>
      </c>
      <c r="T93" s="11">
        <f>IF($A93="","",IFERROR(D93/E93,0))</f>
        <v/>
      </c>
      <c r="U93" s="11">
        <f>IF($A93="","",IFERROR(F93/G93,0))</f>
        <v/>
      </c>
      <c r="V93" s="11">
        <f>IF($A93="","",IFERROR(H93/I93,0))</f>
        <v/>
      </c>
      <c r="W93" s="13">
        <f>IF($A93="","",IFERROR(J93/N93,0))</f>
        <v/>
      </c>
      <c r="X93" s="11">
        <f>IF($A93="","",IFERROR(K93/L93,0))</f>
        <v/>
      </c>
      <c r="Y93" s="13">
        <f>IF($A93="","",IFERROR(C93-O93,0))</f>
        <v/>
      </c>
      <c r="Z93" s="13">
        <f>IF($A93="","",IFERROR(O93/N93,0))</f>
        <v/>
      </c>
      <c r="AA93" s="11">
        <f>IF($A93="","",IFERROR(M93/G93,0))</f>
        <v/>
      </c>
    </row>
    <row r="94" ht="22" customHeight="1">
      <c r="A94" s="9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1">
        <f>IF($A94="","",IFERROR(C94/B94,0))</f>
        <v/>
      </c>
      <c r="R94" s="12">
        <f>IF($A94="","",MAX(I94-H94,0))</f>
        <v/>
      </c>
      <c r="S94" s="11">
        <f>IF($A94="","",IFERROR(C94/B94,0))</f>
        <v/>
      </c>
      <c r="T94" s="11">
        <f>IF($A94="","",IFERROR(D94/E94,0))</f>
        <v/>
      </c>
      <c r="U94" s="11">
        <f>IF($A94="","",IFERROR(F94/G94,0))</f>
        <v/>
      </c>
      <c r="V94" s="11">
        <f>IF($A94="","",IFERROR(H94/I94,0))</f>
        <v/>
      </c>
      <c r="W94" s="13">
        <f>IF($A94="","",IFERROR(J94/N94,0))</f>
        <v/>
      </c>
      <c r="X94" s="11">
        <f>IF($A94="","",IFERROR(K94/L94,0))</f>
        <v/>
      </c>
      <c r="Y94" s="13">
        <f>IF($A94="","",IFERROR(C94-O94,0))</f>
        <v/>
      </c>
      <c r="Z94" s="13">
        <f>IF($A94="","",IFERROR(O94/N94,0))</f>
        <v/>
      </c>
      <c r="AA94" s="11">
        <f>IF($A94="","",IFERROR(M94/G94,0))</f>
        <v/>
      </c>
    </row>
    <row r="95" ht="22" customHeight="1">
      <c r="A95" s="9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1">
        <f>IF($A95="","",IFERROR(C95/B95,0))</f>
        <v/>
      </c>
      <c r="R95" s="12">
        <f>IF($A95="","",MAX(I95-H95,0))</f>
        <v/>
      </c>
      <c r="S95" s="11">
        <f>IF($A95="","",IFERROR(C95/B95,0))</f>
        <v/>
      </c>
      <c r="T95" s="11">
        <f>IF($A95="","",IFERROR(D95/E95,0))</f>
        <v/>
      </c>
      <c r="U95" s="11">
        <f>IF($A95="","",IFERROR(F95/G95,0))</f>
        <v/>
      </c>
      <c r="V95" s="11">
        <f>IF($A95="","",IFERROR(H95/I95,0))</f>
        <v/>
      </c>
      <c r="W95" s="13">
        <f>IF($A95="","",IFERROR(J95/N95,0))</f>
        <v/>
      </c>
      <c r="X95" s="11">
        <f>IF($A95="","",IFERROR(K95/L95,0))</f>
        <v/>
      </c>
      <c r="Y95" s="13">
        <f>IF($A95="","",IFERROR(C95-O95,0))</f>
        <v/>
      </c>
      <c r="Z95" s="13">
        <f>IF($A95="","",IFERROR(O95/N95,0))</f>
        <v/>
      </c>
      <c r="AA95" s="11">
        <f>IF($A95="","",IFERROR(M95/G95,0))</f>
        <v/>
      </c>
    </row>
    <row r="96" ht="22" customHeight="1">
      <c r="A96" s="9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1">
        <f>IF($A96="","",IFERROR(C96/B96,0))</f>
        <v/>
      </c>
      <c r="R96" s="12">
        <f>IF($A96="","",MAX(I96-H96,0))</f>
        <v/>
      </c>
      <c r="S96" s="11">
        <f>IF($A96="","",IFERROR(C96/B96,0))</f>
        <v/>
      </c>
      <c r="T96" s="11">
        <f>IF($A96="","",IFERROR(D96/E96,0))</f>
        <v/>
      </c>
      <c r="U96" s="11">
        <f>IF($A96="","",IFERROR(F96/G96,0))</f>
        <v/>
      </c>
      <c r="V96" s="11">
        <f>IF($A96="","",IFERROR(H96/I96,0))</f>
        <v/>
      </c>
      <c r="W96" s="13">
        <f>IF($A96="","",IFERROR(J96/N96,0))</f>
        <v/>
      </c>
      <c r="X96" s="11">
        <f>IF($A96="","",IFERROR(K96/L96,0))</f>
        <v/>
      </c>
      <c r="Y96" s="13">
        <f>IF($A96="","",IFERROR(C96-O96,0))</f>
        <v/>
      </c>
      <c r="Z96" s="13">
        <f>IF($A96="","",IFERROR(O96/N96,0))</f>
        <v/>
      </c>
      <c r="AA96" s="11">
        <f>IF($A96="","",IFERROR(M96/G96,0))</f>
        <v/>
      </c>
    </row>
    <row r="97" ht="22" customHeight="1">
      <c r="A97" s="9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1">
        <f>IF($A97="","",IFERROR(C97/B97,0))</f>
        <v/>
      </c>
      <c r="R97" s="12">
        <f>IF($A97="","",MAX(I97-H97,0))</f>
        <v/>
      </c>
      <c r="S97" s="11">
        <f>IF($A97="","",IFERROR(C97/B97,0))</f>
        <v/>
      </c>
      <c r="T97" s="11">
        <f>IF($A97="","",IFERROR(D97/E97,0))</f>
        <v/>
      </c>
      <c r="U97" s="11">
        <f>IF($A97="","",IFERROR(F97/G97,0))</f>
        <v/>
      </c>
      <c r="V97" s="11">
        <f>IF($A97="","",IFERROR(H97/I97,0))</f>
        <v/>
      </c>
      <c r="W97" s="13">
        <f>IF($A97="","",IFERROR(J97/N97,0))</f>
        <v/>
      </c>
      <c r="X97" s="11">
        <f>IF($A97="","",IFERROR(K97/L97,0))</f>
        <v/>
      </c>
      <c r="Y97" s="13">
        <f>IF($A97="","",IFERROR(C97-O97,0))</f>
        <v/>
      </c>
      <c r="Z97" s="13">
        <f>IF($A97="","",IFERROR(O97/N97,0))</f>
        <v/>
      </c>
      <c r="AA97" s="11">
        <f>IF($A97="","",IFERROR(M97/G97,0))</f>
        <v/>
      </c>
    </row>
    <row r="98" ht="22" customHeight="1">
      <c r="A98" s="9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1">
        <f>IF($A98="","",IFERROR(C98/B98,0))</f>
        <v/>
      </c>
      <c r="R98" s="12">
        <f>IF($A98="","",MAX(I98-H98,0))</f>
        <v/>
      </c>
      <c r="S98" s="11">
        <f>IF($A98="","",IFERROR(C98/B98,0))</f>
        <v/>
      </c>
      <c r="T98" s="11">
        <f>IF($A98="","",IFERROR(D98/E98,0))</f>
        <v/>
      </c>
      <c r="U98" s="11">
        <f>IF($A98="","",IFERROR(F98/G98,0))</f>
        <v/>
      </c>
      <c r="V98" s="11">
        <f>IF($A98="","",IFERROR(H98/I98,0))</f>
        <v/>
      </c>
      <c r="W98" s="13">
        <f>IF($A98="","",IFERROR(J98/N98,0))</f>
        <v/>
      </c>
      <c r="X98" s="11">
        <f>IF($A98="","",IFERROR(K98/L98,0))</f>
        <v/>
      </c>
      <c r="Y98" s="13">
        <f>IF($A98="","",IFERROR(C98-O98,0))</f>
        <v/>
      </c>
      <c r="Z98" s="13">
        <f>IF($A98="","",IFERROR(O98/N98,0))</f>
        <v/>
      </c>
      <c r="AA98" s="11">
        <f>IF($A98="","",IFERROR(M98/G98,0))</f>
        <v/>
      </c>
    </row>
    <row r="99" ht="22" customHeight="1">
      <c r="A99" s="9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1">
        <f>IF($A99="","",IFERROR(C99/B99,0))</f>
        <v/>
      </c>
      <c r="R99" s="12">
        <f>IF($A99="","",MAX(I99-H99,0))</f>
        <v/>
      </c>
      <c r="S99" s="11">
        <f>IF($A99="","",IFERROR(C99/B99,0))</f>
        <v/>
      </c>
      <c r="T99" s="11">
        <f>IF($A99="","",IFERROR(D99/E99,0))</f>
        <v/>
      </c>
      <c r="U99" s="11">
        <f>IF($A99="","",IFERROR(F99/G99,0))</f>
        <v/>
      </c>
      <c r="V99" s="11">
        <f>IF($A99="","",IFERROR(H99/I99,0))</f>
        <v/>
      </c>
      <c r="W99" s="13">
        <f>IF($A99="","",IFERROR(J99/N99,0))</f>
        <v/>
      </c>
      <c r="X99" s="11">
        <f>IF($A99="","",IFERROR(K99/L99,0))</f>
        <v/>
      </c>
      <c r="Y99" s="13">
        <f>IF($A99="","",IFERROR(C99-O99,0))</f>
        <v/>
      </c>
      <c r="Z99" s="13">
        <f>IF($A99="","",IFERROR(O99/N99,0))</f>
        <v/>
      </c>
      <c r="AA99" s="11">
        <f>IF($A99="","",IFERROR(M99/G99,0))</f>
        <v/>
      </c>
    </row>
    <row r="100" ht="22" customHeight="1">
      <c r="A100" s="9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1">
        <f>IF($A100="","",IFERROR(C100/B100,0))</f>
        <v/>
      </c>
      <c r="R100" s="12">
        <f>IF($A100="","",MAX(I100-H100,0))</f>
        <v/>
      </c>
      <c r="S100" s="11">
        <f>IF($A100="","",IFERROR(C100/B100,0))</f>
        <v/>
      </c>
      <c r="T100" s="11">
        <f>IF($A100="","",IFERROR(D100/E100,0))</f>
        <v/>
      </c>
      <c r="U100" s="11">
        <f>IF($A100="","",IFERROR(F100/G100,0))</f>
        <v/>
      </c>
      <c r="V100" s="11">
        <f>IF($A100="","",IFERROR(H100/I100,0))</f>
        <v/>
      </c>
      <c r="W100" s="13">
        <f>IF($A100="","",IFERROR(J100/N100,0))</f>
        <v/>
      </c>
      <c r="X100" s="11">
        <f>IF($A100="","",IFERROR(K100/L100,0))</f>
        <v/>
      </c>
      <c r="Y100" s="13">
        <f>IF($A100="","",IFERROR(C100-O100,0))</f>
        <v/>
      </c>
      <c r="Z100" s="13">
        <f>IF($A100="","",IFERROR(O100/N100,0))</f>
        <v/>
      </c>
      <c r="AA100" s="11">
        <f>IF($A100="","",IFERROR(M100/G100,0))</f>
        <v/>
      </c>
    </row>
    <row r="101" ht="22" customHeight="1">
      <c r="A101" s="9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1">
        <f>IF($A101="","",IFERROR(C101/B101,0))</f>
        <v/>
      </c>
      <c r="R101" s="12">
        <f>IF($A101="","",MAX(I101-H101,0))</f>
        <v/>
      </c>
      <c r="S101" s="11">
        <f>IF($A101="","",IFERROR(C101/B101,0))</f>
        <v/>
      </c>
      <c r="T101" s="11">
        <f>IF($A101="","",IFERROR(D101/E101,0))</f>
        <v/>
      </c>
      <c r="U101" s="11">
        <f>IF($A101="","",IFERROR(F101/G101,0))</f>
        <v/>
      </c>
      <c r="V101" s="11">
        <f>IF($A101="","",IFERROR(H101/I101,0))</f>
        <v/>
      </c>
      <c r="W101" s="13">
        <f>IF($A101="","",IFERROR(J101/N101,0))</f>
        <v/>
      </c>
      <c r="X101" s="11">
        <f>IF($A101="","",IFERROR(K101/L101,0))</f>
        <v/>
      </c>
      <c r="Y101" s="13">
        <f>IF($A101="","",IFERROR(C101-O101,0))</f>
        <v/>
      </c>
      <c r="Z101" s="13">
        <f>IF($A101="","",IFERROR(O101/N101,0))</f>
        <v/>
      </c>
      <c r="AA101" s="11">
        <f>IF($A101="","",IFERROR(M101/G101,0))</f>
        <v/>
      </c>
    </row>
    <row r="102" ht="22" customHeight="1">
      <c r="A102" s="9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1">
        <f>IF($A102="","",IFERROR(C102/B102,0))</f>
        <v/>
      </c>
      <c r="R102" s="12">
        <f>IF($A102="","",MAX(I102-H102,0))</f>
        <v/>
      </c>
      <c r="S102" s="11">
        <f>IF($A102="","",IFERROR(C102/B102,0))</f>
        <v/>
      </c>
      <c r="T102" s="11">
        <f>IF($A102="","",IFERROR(D102/E102,0))</f>
        <v/>
      </c>
      <c r="U102" s="11">
        <f>IF($A102="","",IFERROR(F102/G102,0))</f>
        <v/>
      </c>
      <c r="V102" s="11">
        <f>IF($A102="","",IFERROR(H102/I102,0))</f>
        <v/>
      </c>
      <c r="W102" s="13">
        <f>IF($A102="","",IFERROR(J102/N102,0))</f>
        <v/>
      </c>
      <c r="X102" s="11">
        <f>IF($A102="","",IFERROR(K102/L102,0))</f>
        <v/>
      </c>
      <c r="Y102" s="13">
        <f>IF($A102="","",IFERROR(C102-O102,0))</f>
        <v/>
      </c>
      <c r="Z102" s="13">
        <f>IF($A102="","",IFERROR(O102/N102,0))</f>
        <v/>
      </c>
      <c r="AA102" s="11">
        <f>IF($A102="","",IFERROR(M102/G102,0))</f>
        <v/>
      </c>
    </row>
    <row r="103" ht="22" customHeight="1">
      <c r="A103" s="9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1">
        <f>IF($A103="","",IFERROR(C103/B103,0))</f>
        <v/>
      </c>
      <c r="R103" s="12">
        <f>IF($A103="","",MAX(I103-H103,0))</f>
        <v/>
      </c>
      <c r="S103" s="11">
        <f>IF($A103="","",IFERROR(C103/B103,0))</f>
        <v/>
      </c>
      <c r="T103" s="11">
        <f>IF($A103="","",IFERROR(D103/E103,0))</f>
        <v/>
      </c>
      <c r="U103" s="11">
        <f>IF($A103="","",IFERROR(F103/G103,0))</f>
        <v/>
      </c>
      <c r="V103" s="11">
        <f>IF($A103="","",IFERROR(H103/I103,0))</f>
        <v/>
      </c>
      <c r="W103" s="13">
        <f>IF($A103="","",IFERROR(J103/N103,0))</f>
        <v/>
      </c>
      <c r="X103" s="11">
        <f>IF($A103="","",IFERROR(K103/L103,0))</f>
        <v/>
      </c>
      <c r="Y103" s="13">
        <f>IF($A103="","",IFERROR(C103-O103,0))</f>
        <v/>
      </c>
      <c r="Z103" s="13">
        <f>IF($A103="","",IFERROR(O103/N103,0))</f>
        <v/>
      </c>
      <c r="AA103" s="11">
        <f>IF($A103="","",IFERROR(M103/G103,0))</f>
        <v/>
      </c>
    </row>
    <row r="104" ht="22" customHeight="1">
      <c r="A104" s="9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1">
        <f>IF($A104="","",IFERROR(C104/B104,0))</f>
        <v/>
      </c>
      <c r="R104" s="12">
        <f>IF($A104="","",MAX(I104-H104,0))</f>
        <v/>
      </c>
      <c r="S104" s="11">
        <f>IF($A104="","",IFERROR(C104/B104,0))</f>
        <v/>
      </c>
      <c r="T104" s="11">
        <f>IF($A104="","",IFERROR(D104/E104,0))</f>
        <v/>
      </c>
      <c r="U104" s="11">
        <f>IF($A104="","",IFERROR(F104/G104,0))</f>
        <v/>
      </c>
      <c r="V104" s="11">
        <f>IF($A104="","",IFERROR(H104/I104,0))</f>
        <v/>
      </c>
      <c r="W104" s="13">
        <f>IF($A104="","",IFERROR(J104/N104,0))</f>
        <v/>
      </c>
      <c r="X104" s="11">
        <f>IF($A104="","",IFERROR(K104/L104,0))</f>
        <v/>
      </c>
      <c r="Y104" s="13">
        <f>IF($A104="","",IFERROR(C104-O104,0))</f>
        <v/>
      </c>
      <c r="Z104" s="13">
        <f>IF($A104="","",IFERROR(O104/N104,0))</f>
        <v/>
      </c>
      <c r="AA104" s="11">
        <f>IF($A104="","",IFERROR(M104/G104,0))</f>
        <v/>
      </c>
    </row>
    <row r="105" ht="22" customHeight="1">
      <c r="A105" s="9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1">
        <f>IF($A105="","",IFERROR(C105/B105,0))</f>
        <v/>
      </c>
      <c r="R105" s="12">
        <f>IF($A105="","",MAX(I105-H105,0))</f>
        <v/>
      </c>
      <c r="S105" s="11">
        <f>IF($A105="","",IFERROR(C105/B105,0))</f>
        <v/>
      </c>
      <c r="T105" s="11">
        <f>IF($A105="","",IFERROR(D105/E105,0))</f>
        <v/>
      </c>
      <c r="U105" s="11">
        <f>IF($A105="","",IFERROR(F105/G105,0))</f>
        <v/>
      </c>
      <c r="V105" s="11">
        <f>IF($A105="","",IFERROR(H105/I105,0))</f>
        <v/>
      </c>
      <c r="W105" s="13">
        <f>IF($A105="","",IFERROR(J105/N105,0))</f>
        <v/>
      </c>
      <c r="X105" s="11">
        <f>IF($A105="","",IFERROR(K105/L105,0))</f>
        <v/>
      </c>
      <c r="Y105" s="13">
        <f>IF($A105="","",IFERROR(C105-O105,0))</f>
        <v/>
      </c>
      <c r="Z105" s="13">
        <f>IF($A105="","",IFERROR(O105/N105,0))</f>
        <v/>
      </c>
      <c r="AA105" s="11">
        <f>IF($A105="","",IFERROR(M105/G105,0))</f>
        <v/>
      </c>
    </row>
    <row r="106" ht="22" customHeight="1">
      <c r="A106" s="9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1">
        <f>IF($A106="","",IFERROR(C106/B106,0))</f>
        <v/>
      </c>
      <c r="R106" s="12">
        <f>IF($A106="","",MAX(I106-H106,0))</f>
        <v/>
      </c>
      <c r="S106" s="11">
        <f>IF($A106="","",IFERROR(C106/B106,0))</f>
        <v/>
      </c>
      <c r="T106" s="11">
        <f>IF($A106="","",IFERROR(D106/E106,0))</f>
        <v/>
      </c>
      <c r="U106" s="11">
        <f>IF($A106="","",IFERROR(F106/G106,0))</f>
        <v/>
      </c>
      <c r="V106" s="11">
        <f>IF($A106="","",IFERROR(H106/I106,0))</f>
        <v/>
      </c>
      <c r="W106" s="13">
        <f>IF($A106="","",IFERROR(J106/N106,0))</f>
        <v/>
      </c>
      <c r="X106" s="11">
        <f>IF($A106="","",IFERROR(K106/L106,0))</f>
        <v/>
      </c>
      <c r="Y106" s="13">
        <f>IF($A106="","",IFERROR(C106-O106,0))</f>
        <v/>
      </c>
      <c r="Z106" s="13">
        <f>IF($A106="","",IFERROR(O106/N106,0))</f>
        <v/>
      </c>
      <c r="AA106" s="11">
        <f>IF($A106="","",IFERROR(M106/G106,0))</f>
        <v/>
      </c>
    </row>
    <row r="107" ht="22" customHeight="1">
      <c r="A107" s="9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1">
        <f>IF($A107="","",IFERROR(C107/B107,0))</f>
        <v/>
      </c>
      <c r="R107" s="12">
        <f>IF($A107="","",MAX(I107-H107,0))</f>
        <v/>
      </c>
      <c r="S107" s="11">
        <f>IF($A107="","",IFERROR(C107/B107,0))</f>
        <v/>
      </c>
      <c r="T107" s="11">
        <f>IF($A107="","",IFERROR(D107/E107,0))</f>
        <v/>
      </c>
      <c r="U107" s="11">
        <f>IF($A107="","",IFERROR(F107/G107,0))</f>
        <v/>
      </c>
      <c r="V107" s="11">
        <f>IF($A107="","",IFERROR(H107/I107,0))</f>
        <v/>
      </c>
      <c r="W107" s="13">
        <f>IF($A107="","",IFERROR(J107/N107,0))</f>
        <v/>
      </c>
      <c r="X107" s="11">
        <f>IF($A107="","",IFERROR(K107/L107,0))</f>
        <v/>
      </c>
      <c r="Y107" s="13">
        <f>IF($A107="","",IFERROR(C107-O107,0))</f>
        <v/>
      </c>
      <c r="Z107" s="13">
        <f>IF($A107="","",IFERROR(O107/N107,0))</f>
        <v/>
      </c>
      <c r="AA107" s="11">
        <f>IF($A107="","",IFERROR(M107/G107,0))</f>
        <v/>
      </c>
    </row>
    <row r="108" ht="22" customHeight="1">
      <c r="A108" s="9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1">
        <f>IF($A108="","",IFERROR(C108/B108,0))</f>
        <v/>
      </c>
      <c r="R108" s="12">
        <f>IF($A108="","",MAX(I108-H108,0))</f>
        <v/>
      </c>
      <c r="S108" s="11">
        <f>IF($A108="","",IFERROR(C108/B108,0))</f>
        <v/>
      </c>
      <c r="T108" s="11">
        <f>IF($A108="","",IFERROR(D108/E108,0))</f>
        <v/>
      </c>
      <c r="U108" s="11">
        <f>IF($A108="","",IFERROR(F108/G108,0))</f>
        <v/>
      </c>
      <c r="V108" s="11">
        <f>IF($A108="","",IFERROR(H108/I108,0))</f>
        <v/>
      </c>
      <c r="W108" s="13">
        <f>IF($A108="","",IFERROR(J108/N108,0))</f>
        <v/>
      </c>
      <c r="X108" s="11">
        <f>IF($A108="","",IFERROR(K108/L108,0))</f>
        <v/>
      </c>
      <c r="Y108" s="13">
        <f>IF($A108="","",IFERROR(C108-O108,0))</f>
        <v/>
      </c>
      <c r="Z108" s="13">
        <f>IF($A108="","",IFERROR(O108/N108,0))</f>
        <v/>
      </c>
      <c r="AA108" s="11">
        <f>IF($A108="","",IFERROR(M108/G108,0))</f>
        <v/>
      </c>
    </row>
    <row r="109" ht="22" customHeight="1">
      <c r="A109" s="9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1">
        <f>IF($A109="","",IFERROR(C109/B109,0))</f>
        <v/>
      </c>
      <c r="R109" s="12">
        <f>IF($A109="","",MAX(I109-H109,0))</f>
        <v/>
      </c>
      <c r="S109" s="11">
        <f>IF($A109="","",IFERROR(C109/B109,0))</f>
        <v/>
      </c>
      <c r="T109" s="11">
        <f>IF($A109="","",IFERROR(D109/E109,0))</f>
        <v/>
      </c>
      <c r="U109" s="11">
        <f>IF($A109="","",IFERROR(F109/G109,0))</f>
        <v/>
      </c>
      <c r="V109" s="11">
        <f>IF($A109="","",IFERROR(H109/I109,0))</f>
        <v/>
      </c>
      <c r="W109" s="13">
        <f>IF($A109="","",IFERROR(J109/N109,0))</f>
        <v/>
      </c>
      <c r="X109" s="11">
        <f>IF($A109="","",IFERROR(K109/L109,0))</f>
        <v/>
      </c>
      <c r="Y109" s="13">
        <f>IF($A109="","",IFERROR(C109-O109,0))</f>
        <v/>
      </c>
      <c r="Z109" s="13">
        <f>IF($A109="","",IFERROR(O109/N109,0))</f>
        <v/>
      </c>
      <c r="AA109" s="11">
        <f>IF($A109="","",IFERROR(M109/G109,0))</f>
        <v/>
      </c>
    </row>
    <row r="110" ht="22" customHeight="1">
      <c r="A110" s="9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1">
        <f>IF($A110="","",IFERROR(C110/B110,0))</f>
        <v/>
      </c>
      <c r="R110" s="12">
        <f>IF($A110="","",MAX(I110-H110,0))</f>
        <v/>
      </c>
      <c r="S110" s="11">
        <f>IF($A110="","",IFERROR(C110/B110,0))</f>
        <v/>
      </c>
      <c r="T110" s="11">
        <f>IF($A110="","",IFERROR(D110/E110,0))</f>
        <v/>
      </c>
      <c r="U110" s="11">
        <f>IF($A110="","",IFERROR(F110/G110,0))</f>
        <v/>
      </c>
      <c r="V110" s="11">
        <f>IF($A110="","",IFERROR(H110/I110,0))</f>
        <v/>
      </c>
      <c r="W110" s="13">
        <f>IF($A110="","",IFERROR(J110/N110,0))</f>
        <v/>
      </c>
      <c r="X110" s="11">
        <f>IF($A110="","",IFERROR(K110/L110,0))</f>
        <v/>
      </c>
      <c r="Y110" s="13">
        <f>IF($A110="","",IFERROR(C110-O110,0))</f>
        <v/>
      </c>
      <c r="Z110" s="13">
        <f>IF($A110="","",IFERROR(O110/N110,0))</f>
        <v/>
      </c>
      <c r="AA110" s="11">
        <f>IF($A110="","",IFERROR(M110/G110,0))</f>
        <v/>
      </c>
    </row>
    <row r="111" ht="22" customHeight="1">
      <c r="A111" s="9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1">
        <f>IF($A111="","",IFERROR(C111/B111,0))</f>
        <v/>
      </c>
      <c r="R111" s="12">
        <f>IF($A111="","",MAX(I111-H111,0))</f>
        <v/>
      </c>
      <c r="S111" s="11">
        <f>IF($A111="","",IFERROR(C111/B111,0))</f>
        <v/>
      </c>
      <c r="T111" s="11">
        <f>IF($A111="","",IFERROR(D111/E111,0))</f>
        <v/>
      </c>
      <c r="U111" s="11">
        <f>IF($A111="","",IFERROR(F111/G111,0))</f>
        <v/>
      </c>
      <c r="V111" s="11">
        <f>IF($A111="","",IFERROR(H111/I111,0))</f>
        <v/>
      </c>
      <c r="W111" s="13">
        <f>IF($A111="","",IFERROR(J111/N111,0))</f>
        <v/>
      </c>
      <c r="X111" s="11">
        <f>IF($A111="","",IFERROR(K111/L111,0))</f>
        <v/>
      </c>
      <c r="Y111" s="13">
        <f>IF($A111="","",IFERROR(C111-O111,0))</f>
        <v/>
      </c>
      <c r="Z111" s="13">
        <f>IF($A111="","",IFERROR(O111/N111,0))</f>
        <v/>
      </c>
      <c r="AA111" s="11">
        <f>IF($A111="","",IFERROR(M111/G111,0))</f>
        <v/>
      </c>
    </row>
    <row r="112" ht="22" customHeight="1">
      <c r="A112" s="9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1">
        <f>IF($A112="","",IFERROR(C112/B112,0))</f>
        <v/>
      </c>
      <c r="R112" s="12">
        <f>IF($A112="","",MAX(I112-H112,0))</f>
        <v/>
      </c>
      <c r="S112" s="11">
        <f>IF($A112="","",IFERROR(C112/B112,0))</f>
        <v/>
      </c>
      <c r="T112" s="11">
        <f>IF($A112="","",IFERROR(D112/E112,0))</f>
        <v/>
      </c>
      <c r="U112" s="11">
        <f>IF($A112="","",IFERROR(F112/G112,0))</f>
        <v/>
      </c>
      <c r="V112" s="11">
        <f>IF($A112="","",IFERROR(H112/I112,0))</f>
        <v/>
      </c>
      <c r="W112" s="13">
        <f>IF($A112="","",IFERROR(J112/N112,0))</f>
        <v/>
      </c>
      <c r="X112" s="11">
        <f>IF($A112="","",IFERROR(K112/L112,0))</f>
        <v/>
      </c>
      <c r="Y112" s="13">
        <f>IF($A112="","",IFERROR(C112-O112,0))</f>
        <v/>
      </c>
      <c r="Z112" s="13">
        <f>IF($A112="","",IFERROR(O112/N112,0))</f>
        <v/>
      </c>
      <c r="AA112" s="11">
        <f>IF($A112="","",IFERROR(M112/G112,0))</f>
        <v/>
      </c>
    </row>
    <row r="113" ht="22" customHeight="1">
      <c r="A113" s="9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1">
        <f>IF($A113="","",IFERROR(C113/B113,0))</f>
        <v/>
      </c>
      <c r="R113" s="12">
        <f>IF($A113="","",MAX(I113-H113,0))</f>
        <v/>
      </c>
      <c r="S113" s="11">
        <f>IF($A113="","",IFERROR(C113/B113,0))</f>
        <v/>
      </c>
      <c r="T113" s="11">
        <f>IF($A113="","",IFERROR(D113/E113,0))</f>
        <v/>
      </c>
      <c r="U113" s="11">
        <f>IF($A113="","",IFERROR(F113/G113,0))</f>
        <v/>
      </c>
      <c r="V113" s="11">
        <f>IF($A113="","",IFERROR(H113/I113,0))</f>
        <v/>
      </c>
      <c r="W113" s="13">
        <f>IF($A113="","",IFERROR(J113/N113,0))</f>
        <v/>
      </c>
      <c r="X113" s="11">
        <f>IF($A113="","",IFERROR(K113/L113,0))</f>
        <v/>
      </c>
      <c r="Y113" s="13">
        <f>IF($A113="","",IFERROR(C113-O113,0))</f>
        <v/>
      </c>
      <c r="Z113" s="13">
        <f>IF($A113="","",IFERROR(O113/N113,0))</f>
        <v/>
      </c>
      <c r="AA113" s="11">
        <f>IF($A113="","",IFERROR(M113/G113,0))</f>
        <v/>
      </c>
    </row>
    <row r="114" ht="22" customHeight="1">
      <c r="A114" s="9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1">
        <f>IF($A114="","",IFERROR(C114/B114,0))</f>
        <v/>
      </c>
      <c r="R114" s="12">
        <f>IF($A114="","",MAX(I114-H114,0))</f>
        <v/>
      </c>
      <c r="S114" s="11">
        <f>IF($A114="","",IFERROR(C114/B114,0))</f>
        <v/>
      </c>
      <c r="T114" s="11">
        <f>IF($A114="","",IFERROR(D114/E114,0))</f>
        <v/>
      </c>
      <c r="U114" s="11">
        <f>IF($A114="","",IFERROR(F114/G114,0))</f>
        <v/>
      </c>
      <c r="V114" s="11">
        <f>IF($A114="","",IFERROR(H114/I114,0))</f>
        <v/>
      </c>
      <c r="W114" s="13">
        <f>IF($A114="","",IFERROR(J114/N114,0))</f>
        <v/>
      </c>
      <c r="X114" s="11">
        <f>IF($A114="","",IFERROR(K114/L114,0))</f>
        <v/>
      </c>
      <c r="Y114" s="13">
        <f>IF($A114="","",IFERROR(C114-O114,0))</f>
        <v/>
      </c>
      <c r="Z114" s="13">
        <f>IF($A114="","",IFERROR(O114/N114,0))</f>
        <v/>
      </c>
      <c r="AA114" s="11">
        <f>IF($A114="","",IFERROR(M114/G114,0))</f>
        <v/>
      </c>
    </row>
    <row r="115" ht="22" customHeight="1">
      <c r="A115" s="9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1">
        <f>IF($A115="","",IFERROR(C115/B115,0))</f>
        <v/>
      </c>
      <c r="R115" s="12">
        <f>IF($A115="","",MAX(I115-H115,0))</f>
        <v/>
      </c>
      <c r="S115" s="11">
        <f>IF($A115="","",IFERROR(C115/B115,0))</f>
        <v/>
      </c>
      <c r="T115" s="11">
        <f>IF($A115="","",IFERROR(D115/E115,0))</f>
        <v/>
      </c>
      <c r="U115" s="11">
        <f>IF($A115="","",IFERROR(F115/G115,0))</f>
        <v/>
      </c>
      <c r="V115" s="11">
        <f>IF($A115="","",IFERROR(H115/I115,0))</f>
        <v/>
      </c>
      <c r="W115" s="13">
        <f>IF($A115="","",IFERROR(J115/N115,0))</f>
        <v/>
      </c>
      <c r="X115" s="11">
        <f>IF($A115="","",IFERROR(K115/L115,0))</f>
        <v/>
      </c>
      <c r="Y115" s="13">
        <f>IF($A115="","",IFERROR(C115-O115,0))</f>
        <v/>
      </c>
      <c r="Z115" s="13">
        <f>IF($A115="","",IFERROR(O115/N115,0))</f>
        <v/>
      </c>
      <c r="AA115" s="11">
        <f>IF($A115="","",IFERROR(M115/G115,0))</f>
        <v/>
      </c>
    </row>
    <row r="116" ht="22" customHeight="1">
      <c r="A116" s="9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1">
        <f>IF($A116="","",IFERROR(C116/B116,0))</f>
        <v/>
      </c>
      <c r="R116" s="12">
        <f>IF($A116="","",MAX(I116-H116,0))</f>
        <v/>
      </c>
      <c r="S116" s="11">
        <f>IF($A116="","",IFERROR(C116/B116,0))</f>
        <v/>
      </c>
      <c r="T116" s="11">
        <f>IF($A116="","",IFERROR(D116/E116,0))</f>
        <v/>
      </c>
      <c r="U116" s="11">
        <f>IF($A116="","",IFERROR(F116/G116,0))</f>
        <v/>
      </c>
      <c r="V116" s="11">
        <f>IF($A116="","",IFERROR(H116/I116,0))</f>
        <v/>
      </c>
      <c r="W116" s="13">
        <f>IF($A116="","",IFERROR(J116/N116,0))</f>
        <v/>
      </c>
      <c r="X116" s="11">
        <f>IF($A116="","",IFERROR(K116/L116,0))</f>
        <v/>
      </c>
      <c r="Y116" s="13">
        <f>IF($A116="","",IFERROR(C116-O116,0))</f>
        <v/>
      </c>
      <c r="Z116" s="13">
        <f>IF($A116="","",IFERROR(O116/N116,0))</f>
        <v/>
      </c>
      <c r="AA116" s="11">
        <f>IF($A116="","",IFERROR(M116/G116,0))</f>
        <v/>
      </c>
    </row>
    <row r="117" ht="22" customHeight="1">
      <c r="A117" s="9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1">
        <f>IF($A117="","",IFERROR(C117/B117,0))</f>
        <v/>
      </c>
      <c r="R117" s="12">
        <f>IF($A117="","",MAX(I117-H117,0))</f>
        <v/>
      </c>
      <c r="S117" s="11">
        <f>IF($A117="","",IFERROR(C117/B117,0))</f>
        <v/>
      </c>
      <c r="T117" s="11">
        <f>IF($A117="","",IFERROR(D117/E117,0))</f>
        <v/>
      </c>
      <c r="U117" s="11">
        <f>IF($A117="","",IFERROR(F117/G117,0))</f>
        <v/>
      </c>
      <c r="V117" s="11">
        <f>IF($A117="","",IFERROR(H117/I117,0))</f>
        <v/>
      </c>
      <c r="W117" s="13">
        <f>IF($A117="","",IFERROR(J117/N117,0))</f>
        <v/>
      </c>
      <c r="X117" s="11">
        <f>IF($A117="","",IFERROR(K117/L117,0))</f>
        <v/>
      </c>
      <c r="Y117" s="13">
        <f>IF($A117="","",IFERROR(C117-O117,0))</f>
        <v/>
      </c>
      <c r="Z117" s="13">
        <f>IF($A117="","",IFERROR(O117/N117,0))</f>
        <v/>
      </c>
      <c r="AA117" s="11">
        <f>IF($A117="","",IFERROR(M117/G117,0))</f>
        <v/>
      </c>
    </row>
    <row r="118" ht="22" customHeight="1">
      <c r="A118" s="9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1">
        <f>IF($A118="","",IFERROR(C118/B118,0))</f>
        <v/>
      </c>
      <c r="R118" s="12">
        <f>IF($A118="","",MAX(I118-H118,0))</f>
        <v/>
      </c>
      <c r="S118" s="11">
        <f>IF($A118="","",IFERROR(C118/B118,0))</f>
        <v/>
      </c>
      <c r="T118" s="11">
        <f>IF($A118="","",IFERROR(D118/E118,0))</f>
        <v/>
      </c>
      <c r="U118" s="11">
        <f>IF($A118="","",IFERROR(F118/G118,0))</f>
        <v/>
      </c>
      <c r="V118" s="11">
        <f>IF($A118="","",IFERROR(H118/I118,0))</f>
        <v/>
      </c>
      <c r="W118" s="13">
        <f>IF($A118="","",IFERROR(J118/N118,0))</f>
        <v/>
      </c>
      <c r="X118" s="11">
        <f>IF($A118="","",IFERROR(K118/L118,0))</f>
        <v/>
      </c>
      <c r="Y118" s="13">
        <f>IF($A118="","",IFERROR(C118-O118,0))</f>
        <v/>
      </c>
      <c r="Z118" s="13">
        <f>IF($A118="","",IFERROR(O118/N118,0))</f>
        <v/>
      </c>
      <c r="AA118" s="11">
        <f>IF($A118="","",IFERROR(M118/G118,0))</f>
        <v/>
      </c>
    </row>
    <row r="119" ht="22" customHeight="1">
      <c r="A119" s="9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1">
        <f>IF($A119="","",IFERROR(C119/B119,0))</f>
        <v/>
      </c>
      <c r="R119" s="12">
        <f>IF($A119="","",MAX(I119-H119,0))</f>
        <v/>
      </c>
      <c r="S119" s="11">
        <f>IF($A119="","",IFERROR(C119/B119,0))</f>
        <v/>
      </c>
      <c r="T119" s="11">
        <f>IF($A119="","",IFERROR(D119/E119,0))</f>
        <v/>
      </c>
      <c r="U119" s="11">
        <f>IF($A119="","",IFERROR(F119/G119,0))</f>
        <v/>
      </c>
      <c r="V119" s="11">
        <f>IF($A119="","",IFERROR(H119/I119,0))</f>
        <v/>
      </c>
      <c r="W119" s="13">
        <f>IF($A119="","",IFERROR(J119/N119,0))</f>
        <v/>
      </c>
      <c r="X119" s="11">
        <f>IF($A119="","",IFERROR(K119/L119,0))</f>
        <v/>
      </c>
      <c r="Y119" s="13">
        <f>IF($A119="","",IFERROR(C119-O119,0))</f>
        <v/>
      </c>
      <c r="Z119" s="13">
        <f>IF($A119="","",IFERROR(O119/N119,0))</f>
        <v/>
      </c>
      <c r="AA119" s="11">
        <f>IF($A119="","",IFERROR(M119/G119,0))</f>
        <v/>
      </c>
    </row>
    <row r="120" ht="22" customHeight="1">
      <c r="A120" s="9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1">
        <f>IF($A120="","",IFERROR(C120/B120,0))</f>
        <v/>
      </c>
      <c r="R120" s="12">
        <f>IF($A120="","",MAX(I120-H120,0))</f>
        <v/>
      </c>
      <c r="S120" s="11">
        <f>IF($A120="","",IFERROR(C120/B120,0))</f>
        <v/>
      </c>
      <c r="T120" s="11">
        <f>IF($A120="","",IFERROR(D120/E120,0))</f>
        <v/>
      </c>
      <c r="U120" s="11">
        <f>IF($A120="","",IFERROR(F120/G120,0))</f>
        <v/>
      </c>
      <c r="V120" s="11">
        <f>IF($A120="","",IFERROR(H120/I120,0))</f>
        <v/>
      </c>
      <c r="W120" s="13">
        <f>IF($A120="","",IFERROR(J120/N120,0))</f>
        <v/>
      </c>
      <c r="X120" s="11">
        <f>IF($A120="","",IFERROR(K120/L120,0))</f>
        <v/>
      </c>
      <c r="Y120" s="13">
        <f>IF($A120="","",IFERROR(C120-O120,0))</f>
        <v/>
      </c>
      <c r="Z120" s="13">
        <f>IF($A120="","",IFERROR(O120/N120,0))</f>
        <v/>
      </c>
      <c r="AA120" s="11">
        <f>IF($A120="","",IFERROR(M120/G120,0))</f>
        <v/>
      </c>
    </row>
    <row r="121" ht="22" customHeight="1">
      <c r="A121" s="9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1">
        <f>IF($A121="","",IFERROR(C121/B121,0))</f>
        <v/>
      </c>
      <c r="R121" s="12">
        <f>IF($A121="","",MAX(I121-H121,0))</f>
        <v/>
      </c>
      <c r="S121" s="11">
        <f>IF($A121="","",IFERROR(C121/B121,0))</f>
        <v/>
      </c>
      <c r="T121" s="11">
        <f>IF($A121="","",IFERROR(D121/E121,0))</f>
        <v/>
      </c>
      <c r="U121" s="11">
        <f>IF($A121="","",IFERROR(F121/G121,0))</f>
        <v/>
      </c>
      <c r="V121" s="11">
        <f>IF($A121="","",IFERROR(H121/I121,0))</f>
        <v/>
      </c>
      <c r="W121" s="13">
        <f>IF($A121="","",IFERROR(J121/N121,0))</f>
        <v/>
      </c>
      <c r="X121" s="11">
        <f>IF($A121="","",IFERROR(K121/L121,0))</f>
        <v/>
      </c>
      <c r="Y121" s="13">
        <f>IF($A121="","",IFERROR(C121-O121,0))</f>
        <v/>
      </c>
      <c r="Z121" s="13">
        <f>IF($A121="","",IFERROR(O121/N121,0))</f>
        <v/>
      </c>
      <c r="AA121" s="11">
        <f>IF($A121="","",IFERROR(M121/G121,0))</f>
        <v/>
      </c>
    </row>
    <row r="122" ht="22" customHeight="1">
      <c r="A122" s="9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1">
        <f>IF($A122="","",IFERROR(C122/B122,0))</f>
        <v/>
      </c>
      <c r="R122" s="12">
        <f>IF($A122="","",MAX(I122-H122,0))</f>
        <v/>
      </c>
      <c r="S122" s="11">
        <f>IF($A122="","",IFERROR(C122/B122,0))</f>
        <v/>
      </c>
      <c r="T122" s="11">
        <f>IF($A122="","",IFERROR(D122/E122,0))</f>
        <v/>
      </c>
      <c r="U122" s="11">
        <f>IF($A122="","",IFERROR(F122/G122,0))</f>
        <v/>
      </c>
      <c r="V122" s="11">
        <f>IF($A122="","",IFERROR(H122/I122,0))</f>
        <v/>
      </c>
      <c r="W122" s="13">
        <f>IF($A122="","",IFERROR(J122/N122,0))</f>
        <v/>
      </c>
      <c r="X122" s="11">
        <f>IF($A122="","",IFERROR(K122/L122,0))</f>
        <v/>
      </c>
      <c r="Y122" s="13">
        <f>IF($A122="","",IFERROR(C122-O122,0))</f>
        <v/>
      </c>
      <c r="Z122" s="13">
        <f>IF($A122="","",IFERROR(O122/N122,0))</f>
        <v/>
      </c>
      <c r="AA122" s="11">
        <f>IF($A122="","",IFERROR(M122/G122,0))</f>
        <v/>
      </c>
    </row>
    <row r="123" ht="22" customHeight="1">
      <c r="A123" s="9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1">
        <f>IF($A123="","",IFERROR(C123/B123,0))</f>
        <v/>
      </c>
      <c r="R123" s="12">
        <f>IF($A123="","",MAX(I123-H123,0))</f>
        <v/>
      </c>
      <c r="S123" s="11">
        <f>IF($A123="","",IFERROR(C123/B123,0))</f>
        <v/>
      </c>
      <c r="T123" s="11">
        <f>IF($A123="","",IFERROR(D123/E123,0))</f>
        <v/>
      </c>
      <c r="U123" s="11">
        <f>IF($A123="","",IFERROR(F123/G123,0))</f>
        <v/>
      </c>
      <c r="V123" s="11">
        <f>IF($A123="","",IFERROR(H123/I123,0))</f>
        <v/>
      </c>
      <c r="W123" s="13">
        <f>IF($A123="","",IFERROR(J123/N123,0))</f>
        <v/>
      </c>
      <c r="X123" s="11">
        <f>IF($A123="","",IFERROR(K123/L123,0))</f>
        <v/>
      </c>
      <c r="Y123" s="13">
        <f>IF($A123="","",IFERROR(C123-O123,0))</f>
        <v/>
      </c>
      <c r="Z123" s="13">
        <f>IF($A123="","",IFERROR(O123/N123,0))</f>
        <v/>
      </c>
      <c r="AA123" s="11">
        <f>IF($A123="","",IFERROR(M123/G123,0))</f>
        <v/>
      </c>
    </row>
    <row r="124" ht="22" customHeight="1">
      <c r="A124" s="9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1">
        <f>IF($A124="","",IFERROR(C124/B124,0))</f>
        <v/>
      </c>
      <c r="R124" s="12">
        <f>IF($A124="","",MAX(I124-H124,0))</f>
        <v/>
      </c>
      <c r="S124" s="11">
        <f>IF($A124="","",IFERROR(C124/B124,0))</f>
        <v/>
      </c>
      <c r="T124" s="11">
        <f>IF($A124="","",IFERROR(D124/E124,0))</f>
        <v/>
      </c>
      <c r="U124" s="11">
        <f>IF($A124="","",IFERROR(F124/G124,0))</f>
        <v/>
      </c>
      <c r="V124" s="11">
        <f>IF($A124="","",IFERROR(H124/I124,0))</f>
        <v/>
      </c>
      <c r="W124" s="13">
        <f>IF($A124="","",IFERROR(J124/N124,0))</f>
        <v/>
      </c>
      <c r="X124" s="11">
        <f>IF($A124="","",IFERROR(K124/L124,0))</f>
        <v/>
      </c>
      <c r="Y124" s="13">
        <f>IF($A124="","",IFERROR(C124-O124,0))</f>
        <v/>
      </c>
      <c r="Z124" s="13">
        <f>IF($A124="","",IFERROR(O124/N124,0))</f>
        <v/>
      </c>
      <c r="AA124" s="11">
        <f>IF($A124="","",IFERROR(M124/G124,0))</f>
        <v/>
      </c>
    </row>
    <row r="125" ht="22" customHeight="1">
      <c r="A125" s="9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1">
        <f>IF($A125="","",IFERROR(C125/B125,0))</f>
        <v/>
      </c>
      <c r="R125" s="12">
        <f>IF($A125="","",MAX(I125-H125,0))</f>
        <v/>
      </c>
      <c r="S125" s="11">
        <f>IF($A125="","",IFERROR(C125/B125,0))</f>
        <v/>
      </c>
      <c r="T125" s="11">
        <f>IF($A125="","",IFERROR(D125/E125,0))</f>
        <v/>
      </c>
      <c r="U125" s="11">
        <f>IF($A125="","",IFERROR(F125/G125,0))</f>
        <v/>
      </c>
      <c r="V125" s="11">
        <f>IF($A125="","",IFERROR(H125/I125,0))</f>
        <v/>
      </c>
      <c r="W125" s="13">
        <f>IF($A125="","",IFERROR(J125/N125,0))</f>
        <v/>
      </c>
      <c r="X125" s="11">
        <f>IF($A125="","",IFERROR(K125/L125,0))</f>
        <v/>
      </c>
      <c r="Y125" s="13">
        <f>IF($A125="","",IFERROR(C125-O125,0))</f>
        <v/>
      </c>
      <c r="Z125" s="13">
        <f>IF($A125="","",IFERROR(O125/N125,0))</f>
        <v/>
      </c>
      <c r="AA125" s="11">
        <f>IF($A125="","",IFERROR(M125/G125,0))</f>
        <v/>
      </c>
    </row>
    <row r="126" ht="22" customHeight="1">
      <c r="A126" s="9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1">
        <f>IF($A126="","",IFERROR(C126/B126,0))</f>
        <v/>
      </c>
      <c r="R126" s="12">
        <f>IF($A126="","",MAX(I126-H126,0))</f>
        <v/>
      </c>
      <c r="S126" s="11">
        <f>IF($A126="","",IFERROR(C126/B126,0))</f>
        <v/>
      </c>
      <c r="T126" s="11">
        <f>IF($A126="","",IFERROR(D126/E126,0))</f>
        <v/>
      </c>
      <c r="U126" s="11">
        <f>IF($A126="","",IFERROR(F126/G126,0))</f>
        <v/>
      </c>
      <c r="V126" s="11">
        <f>IF($A126="","",IFERROR(H126/I126,0))</f>
        <v/>
      </c>
      <c r="W126" s="13">
        <f>IF($A126="","",IFERROR(J126/N126,0))</f>
        <v/>
      </c>
      <c r="X126" s="11">
        <f>IF($A126="","",IFERROR(K126/L126,0))</f>
        <v/>
      </c>
      <c r="Y126" s="13">
        <f>IF($A126="","",IFERROR(C126-O126,0))</f>
        <v/>
      </c>
      <c r="Z126" s="13">
        <f>IF($A126="","",IFERROR(O126/N126,0))</f>
        <v/>
      </c>
      <c r="AA126" s="11">
        <f>IF($A126="","",IFERROR(M126/G126,0))</f>
        <v/>
      </c>
    </row>
    <row r="127" ht="22" customHeight="1">
      <c r="A127" s="9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1">
        <f>IF($A127="","",IFERROR(C127/B127,0))</f>
        <v/>
      </c>
      <c r="R127" s="12">
        <f>IF($A127="","",MAX(I127-H127,0))</f>
        <v/>
      </c>
      <c r="S127" s="11">
        <f>IF($A127="","",IFERROR(C127/B127,0))</f>
        <v/>
      </c>
      <c r="T127" s="11">
        <f>IF($A127="","",IFERROR(D127/E127,0))</f>
        <v/>
      </c>
      <c r="U127" s="11">
        <f>IF($A127="","",IFERROR(F127/G127,0))</f>
        <v/>
      </c>
      <c r="V127" s="11">
        <f>IF($A127="","",IFERROR(H127/I127,0))</f>
        <v/>
      </c>
      <c r="W127" s="13">
        <f>IF($A127="","",IFERROR(J127/N127,0))</f>
        <v/>
      </c>
      <c r="X127" s="11">
        <f>IF($A127="","",IFERROR(K127/L127,0))</f>
        <v/>
      </c>
      <c r="Y127" s="13">
        <f>IF($A127="","",IFERROR(C127-O127,0))</f>
        <v/>
      </c>
      <c r="Z127" s="13">
        <f>IF($A127="","",IFERROR(O127/N127,0))</f>
        <v/>
      </c>
      <c r="AA127" s="11">
        <f>IF($A127="","",IFERROR(M127/G127,0))</f>
        <v/>
      </c>
    </row>
    <row r="128" ht="22" customHeight="1">
      <c r="A128" s="9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1">
        <f>IF($A128="","",IFERROR(C128/B128,0))</f>
        <v/>
      </c>
      <c r="R128" s="12">
        <f>IF($A128="","",MAX(I128-H128,0))</f>
        <v/>
      </c>
      <c r="S128" s="11">
        <f>IF($A128="","",IFERROR(C128/B128,0))</f>
        <v/>
      </c>
      <c r="T128" s="11">
        <f>IF($A128="","",IFERROR(D128/E128,0))</f>
        <v/>
      </c>
      <c r="U128" s="11">
        <f>IF($A128="","",IFERROR(F128/G128,0))</f>
        <v/>
      </c>
      <c r="V128" s="11">
        <f>IF($A128="","",IFERROR(H128/I128,0))</f>
        <v/>
      </c>
      <c r="W128" s="13">
        <f>IF($A128="","",IFERROR(J128/N128,0))</f>
        <v/>
      </c>
      <c r="X128" s="11">
        <f>IF($A128="","",IFERROR(K128/L128,0))</f>
        <v/>
      </c>
      <c r="Y128" s="13">
        <f>IF($A128="","",IFERROR(C128-O128,0))</f>
        <v/>
      </c>
      <c r="Z128" s="13">
        <f>IF($A128="","",IFERROR(O128/N128,0))</f>
        <v/>
      </c>
      <c r="AA128" s="11">
        <f>IF($A128="","",IFERROR(M128/G128,0))</f>
        <v/>
      </c>
    </row>
    <row r="129" ht="22" customHeight="1">
      <c r="A129" s="9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1">
        <f>IF($A129="","",IFERROR(C129/B129,0))</f>
        <v/>
      </c>
      <c r="R129" s="12">
        <f>IF($A129="","",MAX(I129-H129,0))</f>
        <v/>
      </c>
      <c r="S129" s="11">
        <f>IF($A129="","",IFERROR(C129/B129,0))</f>
        <v/>
      </c>
      <c r="T129" s="11">
        <f>IF($A129="","",IFERROR(D129/E129,0))</f>
        <v/>
      </c>
      <c r="U129" s="11">
        <f>IF($A129="","",IFERROR(F129/G129,0))</f>
        <v/>
      </c>
      <c r="V129" s="11">
        <f>IF($A129="","",IFERROR(H129/I129,0))</f>
        <v/>
      </c>
      <c r="W129" s="13">
        <f>IF($A129="","",IFERROR(J129/N129,0))</f>
        <v/>
      </c>
      <c r="X129" s="11">
        <f>IF($A129="","",IFERROR(K129/L129,0))</f>
        <v/>
      </c>
      <c r="Y129" s="13">
        <f>IF($A129="","",IFERROR(C129-O129,0))</f>
        <v/>
      </c>
      <c r="Z129" s="13">
        <f>IF($A129="","",IFERROR(O129/N129,0))</f>
        <v/>
      </c>
      <c r="AA129" s="11">
        <f>IF($A129="","",IFERROR(M129/G129,0))</f>
        <v/>
      </c>
    </row>
    <row r="130" ht="22" customHeight="1">
      <c r="A130" s="9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1">
        <f>IF($A130="","",IFERROR(C130/B130,0))</f>
        <v/>
      </c>
      <c r="R130" s="12">
        <f>IF($A130="","",MAX(I130-H130,0))</f>
        <v/>
      </c>
      <c r="S130" s="11">
        <f>IF($A130="","",IFERROR(C130/B130,0))</f>
        <v/>
      </c>
      <c r="T130" s="11">
        <f>IF($A130="","",IFERROR(D130/E130,0))</f>
        <v/>
      </c>
      <c r="U130" s="11">
        <f>IF($A130="","",IFERROR(F130/G130,0))</f>
        <v/>
      </c>
      <c r="V130" s="11">
        <f>IF($A130="","",IFERROR(H130/I130,0))</f>
        <v/>
      </c>
      <c r="W130" s="13">
        <f>IF($A130="","",IFERROR(J130/N130,0))</f>
        <v/>
      </c>
      <c r="X130" s="11">
        <f>IF($A130="","",IFERROR(K130/L130,0))</f>
        <v/>
      </c>
      <c r="Y130" s="13">
        <f>IF($A130="","",IFERROR(C130-O130,0))</f>
        <v/>
      </c>
      <c r="Z130" s="13">
        <f>IF($A130="","",IFERROR(O130/N130,0))</f>
        <v/>
      </c>
      <c r="AA130" s="11">
        <f>IF($A130="","",IFERROR(M130/G130,0))</f>
        <v/>
      </c>
    </row>
    <row r="131" ht="22" customHeight="1">
      <c r="A131" s="9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1">
        <f>IF($A131="","",IFERROR(C131/B131,0))</f>
        <v/>
      </c>
      <c r="R131" s="12">
        <f>IF($A131="","",MAX(I131-H131,0))</f>
        <v/>
      </c>
      <c r="S131" s="11">
        <f>IF($A131="","",IFERROR(C131/B131,0))</f>
        <v/>
      </c>
      <c r="T131" s="11">
        <f>IF($A131="","",IFERROR(D131/E131,0))</f>
        <v/>
      </c>
      <c r="U131" s="11">
        <f>IF($A131="","",IFERROR(F131/G131,0))</f>
        <v/>
      </c>
      <c r="V131" s="11">
        <f>IF($A131="","",IFERROR(H131/I131,0))</f>
        <v/>
      </c>
      <c r="W131" s="13">
        <f>IF($A131="","",IFERROR(J131/N131,0))</f>
        <v/>
      </c>
      <c r="X131" s="11">
        <f>IF($A131="","",IFERROR(K131/L131,0))</f>
        <v/>
      </c>
      <c r="Y131" s="13">
        <f>IF($A131="","",IFERROR(C131-O131,0))</f>
        <v/>
      </c>
      <c r="Z131" s="13">
        <f>IF($A131="","",IFERROR(O131/N131,0))</f>
        <v/>
      </c>
      <c r="AA131" s="11">
        <f>IF($A131="","",IFERROR(M131/G131,0))</f>
        <v/>
      </c>
    </row>
    <row r="132" ht="22" customHeight="1">
      <c r="A132" s="9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1">
        <f>IF($A132="","",IFERROR(C132/B132,0))</f>
        <v/>
      </c>
      <c r="R132" s="12">
        <f>IF($A132="","",MAX(I132-H132,0))</f>
        <v/>
      </c>
      <c r="S132" s="11">
        <f>IF($A132="","",IFERROR(C132/B132,0))</f>
        <v/>
      </c>
      <c r="T132" s="11">
        <f>IF($A132="","",IFERROR(D132/E132,0))</f>
        <v/>
      </c>
      <c r="U132" s="11">
        <f>IF($A132="","",IFERROR(F132/G132,0))</f>
        <v/>
      </c>
      <c r="V132" s="11">
        <f>IF($A132="","",IFERROR(H132/I132,0))</f>
        <v/>
      </c>
      <c r="W132" s="13">
        <f>IF($A132="","",IFERROR(J132/N132,0))</f>
        <v/>
      </c>
      <c r="X132" s="11">
        <f>IF($A132="","",IFERROR(K132/L132,0))</f>
        <v/>
      </c>
      <c r="Y132" s="13">
        <f>IF($A132="","",IFERROR(C132-O132,0))</f>
        <v/>
      </c>
      <c r="Z132" s="13">
        <f>IF($A132="","",IFERROR(O132/N132,0))</f>
        <v/>
      </c>
      <c r="AA132" s="11">
        <f>IF($A132="","",IFERROR(M132/G132,0))</f>
        <v/>
      </c>
    </row>
    <row r="133" ht="22" customHeight="1">
      <c r="A133" s="9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1">
        <f>IF($A133="","",IFERROR(C133/B133,0))</f>
        <v/>
      </c>
      <c r="R133" s="12">
        <f>IF($A133="","",MAX(I133-H133,0))</f>
        <v/>
      </c>
      <c r="S133" s="11">
        <f>IF($A133="","",IFERROR(C133/B133,0))</f>
        <v/>
      </c>
      <c r="T133" s="11">
        <f>IF($A133="","",IFERROR(D133/E133,0))</f>
        <v/>
      </c>
      <c r="U133" s="11">
        <f>IF($A133="","",IFERROR(F133/G133,0))</f>
        <v/>
      </c>
      <c r="V133" s="11">
        <f>IF($A133="","",IFERROR(H133/I133,0))</f>
        <v/>
      </c>
      <c r="W133" s="13">
        <f>IF($A133="","",IFERROR(J133/N133,0))</f>
        <v/>
      </c>
      <c r="X133" s="11">
        <f>IF($A133="","",IFERROR(K133/L133,0))</f>
        <v/>
      </c>
      <c r="Y133" s="13">
        <f>IF($A133="","",IFERROR(C133-O133,0))</f>
        <v/>
      </c>
      <c r="Z133" s="13">
        <f>IF($A133="","",IFERROR(O133/N133,0))</f>
        <v/>
      </c>
      <c r="AA133" s="11">
        <f>IF($A133="","",IFERROR(M133/G133,0))</f>
        <v/>
      </c>
    </row>
    <row r="134" ht="22" customHeight="1">
      <c r="A134" s="9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1">
        <f>IF($A134="","",IFERROR(C134/B134,0))</f>
        <v/>
      </c>
      <c r="R134" s="12">
        <f>IF($A134="","",MAX(I134-H134,0))</f>
        <v/>
      </c>
      <c r="S134" s="11">
        <f>IF($A134="","",IFERROR(C134/B134,0))</f>
        <v/>
      </c>
      <c r="T134" s="11">
        <f>IF($A134="","",IFERROR(D134/E134,0))</f>
        <v/>
      </c>
      <c r="U134" s="11">
        <f>IF($A134="","",IFERROR(F134/G134,0))</f>
        <v/>
      </c>
      <c r="V134" s="11">
        <f>IF($A134="","",IFERROR(H134/I134,0))</f>
        <v/>
      </c>
      <c r="W134" s="13">
        <f>IF($A134="","",IFERROR(J134/N134,0))</f>
        <v/>
      </c>
      <c r="X134" s="11">
        <f>IF($A134="","",IFERROR(K134/L134,0))</f>
        <v/>
      </c>
      <c r="Y134" s="13">
        <f>IF($A134="","",IFERROR(C134-O134,0))</f>
        <v/>
      </c>
      <c r="Z134" s="13">
        <f>IF($A134="","",IFERROR(O134/N134,0))</f>
        <v/>
      </c>
      <c r="AA134" s="11">
        <f>IF($A134="","",IFERROR(M134/G134,0))</f>
        <v/>
      </c>
    </row>
    <row r="135" ht="22" customHeight="1">
      <c r="A135" s="9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1">
        <f>IF($A135="","",IFERROR(C135/B135,0))</f>
        <v/>
      </c>
      <c r="R135" s="12">
        <f>IF($A135="","",MAX(I135-H135,0))</f>
        <v/>
      </c>
      <c r="S135" s="11">
        <f>IF($A135="","",IFERROR(C135/B135,0))</f>
        <v/>
      </c>
      <c r="T135" s="11">
        <f>IF($A135="","",IFERROR(D135/E135,0))</f>
        <v/>
      </c>
      <c r="U135" s="11">
        <f>IF($A135="","",IFERROR(F135/G135,0))</f>
        <v/>
      </c>
      <c r="V135" s="11">
        <f>IF($A135="","",IFERROR(H135/I135,0))</f>
        <v/>
      </c>
      <c r="W135" s="13">
        <f>IF($A135="","",IFERROR(J135/N135,0))</f>
        <v/>
      </c>
      <c r="X135" s="11">
        <f>IF($A135="","",IFERROR(K135/L135,0))</f>
        <v/>
      </c>
      <c r="Y135" s="13">
        <f>IF($A135="","",IFERROR(C135-O135,0))</f>
        <v/>
      </c>
      <c r="Z135" s="13">
        <f>IF($A135="","",IFERROR(O135/N135,0))</f>
        <v/>
      </c>
      <c r="AA135" s="11">
        <f>IF($A135="","",IFERROR(M135/G135,0))</f>
        <v/>
      </c>
    </row>
    <row r="136" ht="22" customHeight="1">
      <c r="A136" s="9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1">
        <f>IF($A136="","",IFERROR(C136/B136,0))</f>
        <v/>
      </c>
      <c r="R136" s="12">
        <f>IF($A136="","",MAX(I136-H136,0))</f>
        <v/>
      </c>
      <c r="S136" s="11">
        <f>IF($A136="","",IFERROR(C136/B136,0))</f>
        <v/>
      </c>
      <c r="T136" s="11">
        <f>IF($A136="","",IFERROR(D136/E136,0))</f>
        <v/>
      </c>
      <c r="U136" s="11">
        <f>IF($A136="","",IFERROR(F136/G136,0))</f>
        <v/>
      </c>
      <c r="V136" s="11">
        <f>IF($A136="","",IFERROR(H136/I136,0))</f>
        <v/>
      </c>
      <c r="W136" s="13">
        <f>IF($A136="","",IFERROR(J136/N136,0))</f>
        <v/>
      </c>
      <c r="X136" s="11">
        <f>IF($A136="","",IFERROR(K136/L136,0))</f>
        <v/>
      </c>
      <c r="Y136" s="13">
        <f>IF($A136="","",IFERROR(C136-O136,0))</f>
        <v/>
      </c>
      <c r="Z136" s="13">
        <f>IF($A136="","",IFERROR(O136/N136,0))</f>
        <v/>
      </c>
      <c r="AA136" s="11">
        <f>IF($A136="","",IFERROR(M136/G136,0))</f>
        <v/>
      </c>
    </row>
    <row r="137" ht="22" customHeight="1">
      <c r="A137" s="9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1">
        <f>IF($A137="","",IFERROR(C137/B137,0))</f>
        <v/>
      </c>
      <c r="R137" s="12">
        <f>IF($A137="","",MAX(I137-H137,0))</f>
        <v/>
      </c>
      <c r="S137" s="11">
        <f>IF($A137="","",IFERROR(C137/B137,0))</f>
        <v/>
      </c>
      <c r="T137" s="11">
        <f>IF($A137="","",IFERROR(D137/E137,0))</f>
        <v/>
      </c>
      <c r="U137" s="11">
        <f>IF($A137="","",IFERROR(F137/G137,0))</f>
        <v/>
      </c>
      <c r="V137" s="11">
        <f>IF($A137="","",IFERROR(H137/I137,0))</f>
        <v/>
      </c>
      <c r="W137" s="13">
        <f>IF($A137="","",IFERROR(J137/N137,0))</f>
        <v/>
      </c>
      <c r="X137" s="11">
        <f>IF($A137="","",IFERROR(K137/L137,0))</f>
        <v/>
      </c>
      <c r="Y137" s="13">
        <f>IF($A137="","",IFERROR(C137-O137,0))</f>
        <v/>
      </c>
      <c r="Z137" s="13">
        <f>IF($A137="","",IFERROR(O137/N137,0))</f>
        <v/>
      </c>
      <c r="AA137" s="11">
        <f>IF($A137="","",IFERROR(M137/G137,0))</f>
        <v/>
      </c>
    </row>
    <row r="138" ht="22" customHeight="1">
      <c r="A138" s="9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1">
        <f>IF($A138="","",IFERROR(C138/B138,0))</f>
        <v/>
      </c>
      <c r="R138" s="12">
        <f>IF($A138="","",MAX(I138-H138,0))</f>
        <v/>
      </c>
      <c r="S138" s="11">
        <f>IF($A138="","",IFERROR(C138/B138,0))</f>
        <v/>
      </c>
      <c r="T138" s="11">
        <f>IF($A138="","",IFERROR(D138/E138,0))</f>
        <v/>
      </c>
      <c r="U138" s="11">
        <f>IF($A138="","",IFERROR(F138/G138,0))</f>
        <v/>
      </c>
      <c r="V138" s="11">
        <f>IF($A138="","",IFERROR(H138/I138,0))</f>
        <v/>
      </c>
      <c r="W138" s="13">
        <f>IF($A138="","",IFERROR(J138/N138,0))</f>
        <v/>
      </c>
      <c r="X138" s="11">
        <f>IF($A138="","",IFERROR(K138/L138,0))</f>
        <v/>
      </c>
      <c r="Y138" s="13">
        <f>IF($A138="","",IFERROR(C138-O138,0))</f>
        <v/>
      </c>
      <c r="Z138" s="13">
        <f>IF($A138="","",IFERROR(O138/N138,0))</f>
        <v/>
      </c>
      <c r="AA138" s="11">
        <f>IF($A138="","",IFERROR(M138/G138,0))</f>
        <v/>
      </c>
    </row>
    <row r="139" ht="22" customHeight="1">
      <c r="A139" s="9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1">
        <f>IF($A139="","",IFERROR(C139/B139,0))</f>
        <v/>
      </c>
      <c r="R139" s="12">
        <f>IF($A139="","",MAX(I139-H139,0))</f>
        <v/>
      </c>
      <c r="S139" s="11">
        <f>IF($A139="","",IFERROR(C139/B139,0))</f>
        <v/>
      </c>
      <c r="T139" s="11">
        <f>IF($A139="","",IFERROR(D139/E139,0))</f>
        <v/>
      </c>
      <c r="U139" s="11">
        <f>IF($A139="","",IFERROR(F139/G139,0))</f>
        <v/>
      </c>
      <c r="V139" s="11">
        <f>IF($A139="","",IFERROR(H139/I139,0))</f>
        <v/>
      </c>
      <c r="W139" s="13">
        <f>IF($A139="","",IFERROR(J139/N139,0))</f>
        <v/>
      </c>
      <c r="X139" s="11">
        <f>IF($A139="","",IFERROR(K139/L139,0))</f>
        <v/>
      </c>
      <c r="Y139" s="13">
        <f>IF($A139="","",IFERROR(C139-O139,0))</f>
        <v/>
      </c>
      <c r="Z139" s="13">
        <f>IF($A139="","",IFERROR(O139/N139,0))</f>
        <v/>
      </c>
      <c r="AA139" s="11">
        <f>IF($A139="","",IFERROR(M139/G139,0))</f>
        <v/>
      </c>
    </row>
    <row r="140" ht="22" customHeight="1">
      <c r="A140" s="9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1">
        <f>IF($A140="","",IFERROR(C140/B140,0))</f>
        <v/>
      </c>
      <c r="R140" s="12">
        <f>IF($A140="","",MAX(I140-H140,0))</f>
        <v/>
      </c>
      <c r="S140" s="11">
        <f>IF($A140="","",IFERROR(C140/B140,0))</f>
        <v/>
      </c>
      <c r="T140" s="11">
        <f>IF($A140="","",IFERROR(D140/E140,0))</f>
        <v/>
      </c>
      <c r="U140" s="11">
        <f>IF($A140="","",IFERROR(F140/G140,0))</f>
        <v/>
      </c>
      <c r="V140" s="11">
        <f>IF($A140="","",IFERROR(H140/I140,0))</f>
        <v/>
      </c>
      <c r="W140" s="13">
        <f>IF($A140="","",IFERROR(J140/N140,0))</f>
        <v/>
      </c>
      <c r="X140" s="11">
        <f>IF($A140="","",IFERROR(K140/L140,0))</f>
        <v/>
      </c>
      <c r="Y140" s="13">
        <f>IF($A140="","",IFERROR(C140-O140,0))</f>
        <v/>
      </c>
      <c r="Z140" s="13">
        <f>IF($A140="","",IFERROR(O140/N140,0))</f>
        <v/>
      </c>
      <c r="AA140" s="11">
        <f>IF($A140="","",IFERROR(M140/G140,0))</f>
        <v/>
      </c>
    </row>
    <row r="141" ht="22" customHeight="1">
      <c r="A141" s="9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1">
        <f>IF($A141="","",IFERROR(C141/B141,0))</f>
        <v/>
      </c>
      <c r="R141" s="12">
        <f>IF($A141="","",MAX(I141-H141,0))</f>
        <v/>
      </c>
      <c r="S141" s="11">
        <f>IF($A141="","",IFERROR(C141/B141,0))</f>
        <v/>
      </c>
      <c r="T141" s="11">
        <f>IF($A141="","",IFERROR(D141/E141,0))</f>
        <v/>
      </c>
      <c r="U141" s="11">
        <f>IF($A141="","",IFERROR(F141/G141,0))</f>
        <v/>
      </c>
      <c r="V141" s="11">
        <f>IF($A141="","",IFERROR(H141/I141,0))</f>
        <v/>
      </c>
      <c r="W141" s="13">
        <f>IF($A141="","",IFERROR(J141/N141,0))</f>
        <v/>
      </c>
      <c r="X141" s="11">
        <f>IF($A141="","",IFERROR(K141/L141,0))</f>
        <v/>
      </c>
      <c r="Y141" s="13">
        <f>IF($A141="","",IFERROR(C141-O141,0))</f>
        <v/>
      </c>
      <c r="Z141" s="13">
        <f>IF($A141="","",IFERROR(O141/N141,0))</f>
        <v/>
      </c>
      <c r="AA141" s="11">
        <f>IF($A141="","",IFERROR(M141/G141,0))</f>
        <v/>
      </c>
    </row>
    <row r="142" ht="22" customHeight="1">
      <c r="A142" s="9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1">
        <f>IF($A142="","",IFERROR(C142/B142,0))</f>
        <v/>
      </c>
      <c r="R142" s="12">
        <f>IF($A142="","",MAX(I142-H142,0))</f>
        <v/>
      </c>
      <c r="S142" s="11">
        <f>IF($A142="","",IFERROR(C142/B142,0))</f>
        <v/>
      </c>
      <c r="T142" s="11">
        <f>IF($A142="","",IFERROR(D142/E142,0))</f>
        <v/>
      </c>
      <c r="U142" s="11">
        <f>IF($A142="","",IFERROR(F142/G142,0))</f>
        <v/>
      </c>
      <c r="V142" s="11">
        <f>IF($A142="","",IFERROR(H142/I142,0))</f>
        <v/>
      </c>
      <c r="W142" s="13">
        <f>IF($A142="","",IFERROR(J142/N142,0))</f>
        <v/>
      </c>
      <c r="X142" s="11">
        <f>IF($A142="","",IFERROR(K142/L142,0))</f>
        <v/>
      </c>
      <c r="Y142" s="13">
        <f>IF($A142="","",IFERROR(C142-O142,0))</f>
        <v/>
      </c>
      <c r="Z142" s="13">
        <f>IF($A142="","",IFERROR(O142/N142,0))</f>
        <v/>
      </c>
      <c r="AA142" s="11">
        <f>IF($A142="","",IFERROR(M142/G142,0))</f>
        <v/>
      </c>
    </row>
    <row r="143" ht="22" customHeight="1">
      <c r="A143" s="9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1">
        <f>IF($A143="","",IFERROR(C143/B143,0))</f>
        <v/>
      </c>
      <c r="R143" s="12">
        <f>IF($A143="","",MAX(I143-H143,0))</f>
        <v/>
      </c>
      <c r="S143" s="11">
        <f>IF($A143="","",IFERROR(C143/B143,0))</f>
        <v/>
      </c>
      <c r="T143" s="11">
        <f>IF($A143="","",IFERROR(D143/E143,0))</f>
        <v/>
      </c>
      <c r="U143" s="11">
        <f>IF($A143="","",IFERROR(F143/G143,0))</f>
        <v/>
      </c>
      <c r="V143" s="11">
        <f>IF($A143="","",IFERROR(H143/I143,0))</f>
        <v/>
      </c>
      <c r="W143" s="13">
        <f>IF($A143="","",IFERROR(J143/N143,0))</f>
        <v/>
      </c>
      <c r="X143" s="11">
        <f>IF($A143="","",IFERROR(K143/L143,0))</f>
        <v/>
      </c>
      <c r="Y143" s="13">
        <f>IF($A143="","",IFERROR(C143-O143,0))</f>
        <v/>
      </c>
      <c r="Z143" s="13">
        <f>IF($A143="","",IFERROR(O143/N143,0))</f>
        <v/>
      </c>
      <c r="AA143" s="11">
        <f>IF($A143="","",IFERROR(M143/G143,0))</f>
        <v/>
      </c>
    </row>
    <row r="144" ht="22" customHeight="1">
      <c r="A144" s="9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1">
        <f>IF($A144="","",IFERROR(C144/B144,0))</f>
        <v/>
      </c>
      <c r="R144" s="12">
        <f>IF($A144="","",MAX(I144-H144,0))</f>
        <v/>
      </c>
      <c r="S144" s="11">
        <f>IF($A144="","",IFERROR(C144/B144,0))</f>
        <v/>
      </c>
      <c r="T144" s="11">
        <f>IF($A144="","",IFERROR(D144/E144,0))</f>
        <v/>
      </c>
      <c r="U144" s="11">
        <f>IF($A144="","",IFERROR(F144/G144,0))</f>
        <v/>
      </c>
      <c r="V144" s="11">
        <f>IF($A144="","",IFERROR(H144/I144,0))</f>
        <v/>
      </c>
      <c r="W144" s="13">
        <f>IF($A144="","",IFERROR(J144/N144,0))</f>
        <v/>
      </c>
      <c r="X144" s="11">
        <f>IF($A144="","",IFERROR(K144/L144,0))</f>
        <v/>
      </c>
      <c r="Y144" s="13">
        <f>IF($A144="","",IFERROR(C144-O144,0))</f>
        <v/>
      </c>
      <c r="Z144" s="13">
        <f>IF($A144="","",IFERROR(O144/N144,0))</f>
        <v/>
      </c>
      <c r="AA144" s="11">
        <f>IF($A144="","",IFERROR(M144/G144,0))</f>
        <v/>
      </c>
    </row>
    <row r="145" ht="22" customHeight="1">
      <c r="A145" s="9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1">
        <f>IF($A145="","",IFERROR(C145/B145,0))</f>
        <v/>
      </c>
      <c r="R145" s="12">
        <f>IF($A145="","",MAX(I145-H145,0))</f>
        <v/>
      </c>
      <c r="S145" s="11">
        <f>IF($A145="","",IFERROR(C145/B145,0))</f>
        <v/>
      </c>
      <c r="T145" s="11">
        <f>IF($A145="","",IFERROR(D145/E145,0))</f>
        <v/>
      </c>
      <c r="U145" s="11">
        <f>IF($A145="","",IFERROR(F145/G145,0))</f>
        <v/>
      </c>
      <c r="V145" s="11">
        <f>IF($A145="","",IFERROR(H145/I145,0))</f>
        <v/>
      </c>
      <c r="W145" s="13">
        <f>IF($A145="","",IFERROR(J145/N145,0))</f>
        <v/>
      </c>
      <c r="X145" s="11">
        <f>IF($A145="","",IFERROR(K145/L145,0))</f>
        <v/>
      </c>
      <c r="Y145" s="13">
        <f>IF($A145="","",IFERROR(C145-O145,0))</f>
        <v/>
      </c>
      <c r="Z145" s="13">
        <f>IF($A145="","",IFERROR(O145/N145,0))</f>
        <v/>
      </c>
      <c r="AA145" s="11">
        <f>IF($A145="","",IFERROR(M145/G145,0))</f>
        <v/>
      </c>
    </row>
    <row r="146" ht="22" customHeight="1">
      <c r="A146" s="9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1">
        <f>IF($A146="","",IFERROR(C146/B146,0))</f>
        <v/>
      </c>
      <c r="R146" s="12">
        <f>IF($A146="","",MAX(I146-H146,0))</f>
        <v/>
      </c>
      <c r="S146" s="11">
        <f>IF($A146="","",IFERROR(C146/B146,0))</f>
        <v/>
      </c>
      <c r="T146" s="11">
        <f>IF($A146="","",IFERROR(D146/E146,0))</f>
        <v/>
      </c>
      <c r="U146" s="11">
        <f>IF($A146="","",IFERROR(F146/G146,0))</f>
        <v/>
      </c>
      <c r="V146" s="11">
        <f>IF($A146="","",IFERROR(H146/I146,0))</f>
        <v/>
      </c>
      <c r="W146" s="13">
        <f>IF($A146="","",IFERROR(J146/N146,0))</f>
        <v/>
      </c>
      <c r="X146" s="11">
        <f>IF($A146="","",IFERROR(K146/L146,0))</f>
        <v/>
      </c>
      <c r="Y146" s="13">
        <f>IF($A146="","",IFERROR(C146-O146,0))</f>
        <v/>
      </c>
      <c r="Z146" s="13">
        <f>IF($A146="","",IFERROR(O146/N146,0))</f>
        <v/>
      </c>
      <c r="AA146" s="11">
        <f>IF($A146="","",IFERROR(M146/G146,0))</f>
        <v/>
      </c>
    </row>
    <row r="147" ht="22" customHeight="1">
      <c r="A147" s="9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1">
        <f>IF($A147="","",IFERROR(C147/B147,0))</f>
        <v/>
      </c>
      <c r="R147" s="12">
        <f>IF($A147="","",MAX(I147-H147,0))</f>
        <v/>
      </c>
      <c r="S147" s="11">
        <f>IF($A147="","",IFERROR(C147/B147,0))</f>
        <v/>
      </c>
      <c r="T147" s="11">
        <f>IF($A147="","",IFERROR(D147/E147,0))</f>
        <v/>
      </c>
      <c r="U147" s="11">
        <f>IF($A147="","",IFERROR(F147/G147,0))</f>
        <v/>
      </c>
      <c r="V147" s="11">
        <f>IF($A147="","",IFERROR(H147/I147,0))</f>
        <v/>
      </c>
      <c r="W147" s="13">
        <f>IF($A147="","",IFERROR(J147/N147,0))</f>
        <v/>
      </c>
      <c r="X147" s="11">
        <f>IF($A147="","",IFERROR(K147/L147,0))</f>
        <v/>
      </c>
      <c r="Y147" s="13">
        <f>IF($A147="","",IFERROR(C147-O147,0))</f>
        <v/>
      </c>
      <c r="Z147" s="13">
        <f>IF($A147="","",IFERROR(O147/N147,0))</f>
        <v/>
      </c>
      <c r="AA147" s="11">
        <f>IF($A147="","",IFERROR(M147/G147,0))</f>
        <v/>
      </c>
    </row>
    <row r="148" ht="22" customHeight="1">
      <c r="A148" s="9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1">
        <f>IF($A148="","",IFERROR(C148/B148,0))</f>
        <v/>
      </c>
      <c r="R148" s="12">
        <f>IF($A148="","",MAX(I148-H148,0))</f>
        <v/>
      </c>
      <c r="S148" s="11">
        <f>IF($A148="","",IFERROR(C148/B148,0))</f>
        <v/>
      </c>
      <c r="T148" s="11">
        <f>IF($A148="","",IFERROR(D148/E148,0))</f>
        <v/>
      </c>
      <c r="U148" s="11">
        <f>IF($A148="","",IFERROR(F148/G148,0))</f>
        <v/>
      </c>
      <c r="V148" s="11">
        <f>IF($A148="","",IFERROR(H148/I148,0))</f>
        <v/>
      </c>
      <c r="W148" s="13">
        <f>IF($A148="","",IFERROR(J148/N148,0))</f>
        <v/>
      </c>
      <c r="X148" s="11">
        <f>IF($A148="","",IFERROR(K148/L148,0))</f>
        <v/>
      </c>
      <c r="Y148" s="13">
        <f>IF($A148="","",IFERROR(C148-O148,0))</f>
        <v/>
      </c>
      <c r="Z148" s="13">
        <f>IF($A148="","",IFERROR(O148/N148,0))</f>
        <v/>
      </c>
      <c r="AA148" s="11">
        <f>IF($A148="","",IFERROR(M148/G148,0))</f>
        <v/>
      </c>
    </row>
    <row r="149" ht="22" customHeight="1">
      <c r="A149" s="9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1">
        <f>IF($A149="","",IFERROR(C149/B149,0))</f>
        <v/>
      </c>
      <c r="R149" s="12">
        <f>IF($A149="","",MAX(I149-H149,0))</f>
        <v/>
      </c>
      <c r="S149" s="11">
        <f>IF($A149="","",IFERROR(C149/B149,0))</f>
        <v/>
      </c>
      <c r="T149" s="11">
        <f>IF($A149="","",IFERROR(D149/E149,0))</f>
        <v/>
      </c>
      <c r="U149" s="11">
        <f>IF($A149="","",IFERROR(F149/G149,0))</f>
        <v/>
      </c>
      <c r="V149" s="11">
        <f>IF($A149="","",IFERROR(H149/I149,0))</f>
        <v/>
      </c>
      <c r="W149" s="13">
        <f>IF($A149="","",IFERROR(J149/N149,0))</f>
        <v/>
      </c>
      <c r="X149" s="11">
        <f>IF($A149="","",IFERROR(K149/L149,0))</f>
        <v/>
      </c>
      <c r="Y149" s="13">
        <f>IF($A149="","",IFERROR(C149-O149,0))</f>
        <v/>
      </c>
      <c r="Z149" s="13">
        <f>IF($A149="","",IFERROR(O149/N149,0))</f>
        <v/>
      </c>
      <c r="AA149" s="11">
        <f>IF($A149="","",IFERROR(M149/G149,0))</f>
        <v/>
      </c>
    </row>
    <row r="150" ht="22" customHeight="1">
      <c r="A150" s="9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1">
        <f>IF($A150="","",IFERROR(C150/B150,0))</f>
        <v/>
      </c>
      <c r="R150" s="12">
        <f>IF($A150="","",MAX(I150-H150,0))</f>
        <v/>
      </c>
      <c r="S150" s="11">
        <f>IF($A150="","",IFERROR(C150/B150,0))</f>
        <v/>
      </c>
      <c r="T150" s="11">
        <f>IF($A150="","",IFERROR(D150/E150,0))</f>
        <v/>
      </c>
      <c r="U150" s="11">
        <f>IF($A150="","",IFERROR(F150/G150,0))</f>
        <v/>
      </c>
      <c r="V150" s="11">
        <f>IF($A150="","",IFERROR(H150/I150,0))</f>
        <v/>
      </c>
      <c r="W150" s="13">
        <f>IF($A150="","",IFERROR(J150/N150,0))</f>
        <v/>
      </c>
      <c r="X150" s="11">
        <f>IF($A150="","",IFERROR(K150/L150,0))</f>
        <v/>
      </c>
      <c r="Y150" s="13">
        <f>IF($A150="","",IFERROR(C150-O150,0))</f>
        <v/>
      </c>
      <c r="Z150" s="13">
        <f>IF($A150="","",IFERROR(O150/N150,0))</f>
        <v/>
      </c>
      <c r="AA150" s="11">
        <f>IF($A150="","",IFERROR(M150/G150,0))</f>
        <v/>
      </c>
    </row>
    <row r="151" ht="22" customHeight="1">
      <c r="A151" s="9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1">
        <f>IF($A151="","",IFERROR(C151/B151,0))</f>
        <v/>
      </c>
      <c r="R151" s="12">
        <f>IF($A151="","",MAX(I151-H151,0))</f>
        <v/>
      </c>
      <c r="S151" s="11">
        <f>IF($A151="","",IFERROR(C151/B151,0))</f>
        <v/>
      </c>
      <c r="T151" s="11">
        <f>IF($A151="","",IFERROR(D151/E151,0))</f>
        <v/>
      </c>
      <c r="U151" s="11">
        <f>IF($A151="","",IFERROR(F151/G151,0))</f>
        <v/>
      </c>
      <c r="V151" s="11">
        <f>IF($A151="","",IFERROR(H151/I151,0))</f>
        <v/>
      </c>
      <c r="W151" s="13">
        <f>IF($A151="","",IFERROR(J151/N151,0))</f>
        <v/>
      </c>
      <c r="X151" s="11">
        <f>IF($A151="","",IFERROR(K151/L151,0))</f>
        <v/>
      </c>
      <c r="Y151" s="13">
        <f>IF($A151="","",IFERROR(C151-O151,0))</f>
        <v/>
      </c>
      <c r="Z151" s="13">
        <f>IF($A151="","",IFERROR(O151/N151,0))</f>
        <v/>
      </c>
      <c r="AA151" s="11">
        <f>IF($A151="","",IFERROR(M151/G151,0))</f>
        <v/>
      </c>
    </row>
    <row r="152" ht="22" customHeight="1">
      <c r="A152" s="9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1">
        <f>IF($A152="","",IFERROR(C152/B152,0))</f>
        <v/>
      </c>
      <c r="R152" s="12">
        <f>IF($A152="","",MAX(I152-H152,0))</f>
        <v/>
      </c>
      <c r="S152" s="11">
        <f>IF($A152="","",IFERROR(C152/B152,0))</f>
        <v/>
      </c>
      <c r="T152" s="11">
        <f>IF($A152="","",IFERROR(D152/E152,0))</f>
        <v/>
      </c>
      <c r="U152" s="11">
        <f>IF($A152="","",IFERROR(F152/G152,0))</f>
        <v/>
      </c>
      <c r="V152" s="11">
        <f>IF($A152="","",IFERROR(H152/I152,0))</f>
        <v/>
      </c>
      <c r="W152" s="13">
        <f>IF($A152="","",IFERROR(J152/N152,0))</f>
        <v/>
      </c>
      <c r="X152" s="11">
        <f>IF($A152="","",IFERROR(K152/L152,0))</f>
        <v/>
      </c>
      <c r="Y152" s="13">
        <f>IF($A152="","",IFERROR(C152-O152,0))</f>
        <v/>
      </c>
      <c r="Z152" s="13">
        <f>IF($A152="","",IFERROR(O152/N152,0))</f>
        <v/>
      </c>
      <c r="AA152" s="11">
        <f>IF($A152="","",IFERROR(M152/G152,0))</f>
        <v/>
      </c>
    </row>
    <row r="153" ht="22" customHeight="1">
      <c r="A153" s="9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1">
        <f>IF($A153="","",IFERROR(C153/B153,0))</f>
        <v/>
      </c>
      <c r="R153" s="12">
        <f>IF($A153="","",MAX(I153-H153,0))</f>
        <v/>
      </c>
      <c r="S153" s="11">
        <f>IF($A153="","",IFERROR(C153/B153,0))</f>
        <v/>
      </c>
      <c r="T153" s="11">
        <f>IF($A153="","",IFERROR(D153/E153,0))</f>
        <v/>
      </c>
      <c r="U153" s="11">
        <f>IF($A153="","",IFERROR(F153/G153,0))</f>
        <v/>
      </c>
      <c r="V153" s="11">
        <f>IF($A153="","",IFERROR(H153/I153,0))</f>
        <v/>
      </c>
      <c r="W153" s="13">
        <f>IF($A153="","",IFERROR(J153/N153,0))</f>
        <v/>
      </c>
      <c r="X153" s="11">
        <f>IF($A153="","",IFERROR(K153/L153,0))</f>
        <v/>
      </c>
      <c r="Y153" s="13">
        <f>IF($A153="","",IFERROR(C153-O153,0))</f>
        <v/>
      </c>
      <c r="Z153" s="13">
        <f>IF($A153="","",IFERROR(O153/N153,0))</f>
        <v/>
      </c>
      <c r="AA153" s="11">
        <f>IF($A153="","",IFERROR(M153/G153,0))</f>
        <v/>
      </c>
    </row>
    <row r="154" ht="22" customHeight="1">
      <c r="A154" s="9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1">
        <f>IF($A154="","",IFERROR(C154/B154,0))</f>
        <v/>
      </c>
      <c r="R154" s="12">
        <f>IF($A154="","",MAX(I154-H154,0))</f>
        <v/>
      </c>
      <c r="S154" s="11">
        <f>IF($A154="","",IFERROR(C154/B154,0))</f>
        <v/>
      </c>
      <c r="T154" s="11">
        <f>IF($A154="","",IFERROR(D154/E154,0))</f>
        <v/>
      </c>
      <c r="U154" s="11">
        <f>IF($A154="","",IFERROR(F154/G154,0))</f>
        <v/>
      </c>
      <c r="V154" s="11">
        <f>IF($A154="","",IFERROR(H154/I154,0))</f>
        <v/>
      </c>
      <c r="W154" s="13">
        <f>IF($A154="","",IFERROR(J154/N154,0))</f>
        <v/>
      </c>
      <c r="X154" s="11">
        <f>IF($A154="","",IFERROR(K154/L154,0))</f>
        <v/>
      </c>
      <c r="Y154" s="13">
        <f>IF($A154="","",IFERROR(C154-O154,0))</f>
        <v/>
      </c>
      <c r="Z154" s="13">
        <f>IF($A154="","",IFERROR(O154/N154,0))</f>
        <v/>
      </c>
      <c r="AA154" s="11">
        <f>IF($A154="","",IFERROR(M154/G154,0))</f>
        <v/>
      </c>
    </row>
    <row r="155" ht="22" customHeight="1">
      <c r="A155" s="9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1">
        <f>IF($A155="","",IFERROR(C155/B155,0))</f>
        <v/>
      </c>
      <c r="R155" s="12">
        <f>IF($A155="","",MAX(I155-H155,0))</f>
        <v/>
      </c>
      <c r="S155" s="11">
        <f>IF($A155="","",IFERROR(C155/B155,0))</f>
        <v/>
      </c>
      <c r="T155" s="11">
        <f>IF($A155="","",IFERROR(D155/E155,0))</f>
        <v/>
      </c>
      <c r="U155" s="11">
        <f>IF($A155="","",IFERROR(F155/G155,0))</f>
        <v/>
      </c>
      <c r="V155" s="11">
        <f>IF($A155="","",IFERROR(H155/I155,0))</f>
        <v/>
      </c>
      <c r="W155" s="13">
        <f>IF($A155="","",IFERROR(J155/N155,0))</f>
        <v/>
      </c>
      <c r="X155" s="11">
        <f>IF($A155="","",IFERROR(K155/L155,0))</f>
        <v/>
      </c>
      <c r="Y155" s="13">
        <f>IF($A155="","",IFERROR(C155-O155,0))</f>
        <v/>
      </c>
      <c r="Z155" s="13">
        <f>IF($A155="","",IFERROR(O155/N155,0))</f>
        <v/>
      </c>
      <c r="AA155" s="11">
        <f>IF($A155="","",IFERROR(M155/G155,0))</f>
        <v/>
      </c>
    </row>
    <row r="156" ht="22" customHeight="1">
      <c r="A156" s="9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1">
        <f>IF($A156="","",IFERROR(C156/B156,0))</f>
        <v/>
      </c>
      <c r="R156" s="12">
        <f>IF($A156="","",MAX(I156-H156,0))</f>
        <v/>
      </c>
      <c r="S156" s="11">
        <f>IF($A156="","",IFERROR(C156/B156,0))</f>
        <v/>
      </c>
      <c r="T156" s="11">
        <f>IF($A156="","",IFERROR(D156/E156,0))</f>
        <v/>
      </c>
      <c r="U156" s="11">
        <f>IF($A156="","",IFERROR(F156/G156,0))</f>
        <v/>
      </c>
      <c r="V156" s="11">
        <f>IF($A156="","",IFERROR(H156/I156,0))</f>
        <v/>
      </c>
      <c r="W156" s="13">
        <f>IF($A156="","",IFERROR(J156/N156,0))</f>
        <v/>
      </c>
      <c r="X156" s="11">
        <f>IF($A156="","",IFERROR(K156/L156,0))</f>
        <v/>
      </c>
      <c r="Y156" s="13">
        <f>IF($A156="","",IFERROR(C156-O156,0))</f>
        <v/>
      </c>
      <c r="Z156" s="13">
        <f>IF($A156="","",IFERROR(O156/N156,0))</f>
        <v/>
      </c>
      <c r="AA156" s="11">
        <f>IF($A156="","",IFERROR(M156/G156,0))</f>
        <v/>
      </c>
    </row>
    <row r="157" ht="22" customHeight="1">
      <c r="A157" s="9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1">
        <f>IF($A157="","",IFERROR(C157/B157,0))</f>
        <v/>
      </c>
      <c r="R157" s="12">
        <f>IF($A157="","",MAX(I157-H157,0))</f>
        <v/>
      </c>
      <c r="S157" s="11">
        <f>IF($A157="","",IFERROR(C157/B157,0))</f>
        <v/>
      </c>
      <c r="T157" s="11">
        <f>IF($A157="","",IFERROR(D157/E157,0))</f>
        <v/>
      </c>
      <c r="U157" s="11">
        <f>IF($A157="","",IFERROR(F157/G157,0))</f>
        <v/>
      </c>
      <c r="V157" s="11">
        <f>IF($A157="","",IFERROR(H157/I157,0))</f>
        <v/>
      </c>
      <c r="W157" s="13">
        <f>IF($A157="","",IFERROR(J157/N157,0))</f>
        <v/>
      </c>
      <c r="X157" s="11">
        <f>IF($A157="","",IFERROR(K157/L157,0))</f>
        <v/>
      </c>
      <c r="Y157" s="13">
        <f>IF($A157="","",IFERROR(C157-O157,0))</f>
        <v/>
      </c>
      <c r="Z157" s="13">
        <f>IF($A157="","",IFERROR(O157/N157,0))</f>
        <v/>
      </c>
      <c r="AA157" s="11">
        <f>IF($A157="","",IFERROR(M157/G157,0))</f>
        <v/>
      </c>
    </row>
    <row r="158" ht="22" customHeight="1">
      <c r="A158" s="9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1">
        <f>IF($A158="","",IFERROR(C158/B158,0))</f>
        <v/>
      </c>
      <c r="R158" s="12">
        <f>IF($A158="","",MAX(I158-H158,0))</f>
        <v/>
      </c>
      <c r="S158" s="11">
        <f>IF($A158="","",IFERROR(C158/B158,0))</f>
        <v/>
      </c>
      <c r="T158" s="11">
        <f>IF($A158="","",IFERROR(D158/E158,0))</f>
        <v/>
      </c>
      <c r="U158" s="11">
        <f>IF($A158="","",IFERROR(F158/G158,0))</f>
        <v/>
      </c>
      <c r="V158" s="11">
        <f>IF($A158="","",IFERROR(H158/I158,0))</f>
        <v/>
      </c>
      <c r="W158" s="13">
        <f>IF($A158="","",IFERROR(J158/N158,0))</f>
        <v/>
      </c>
      <c r="X158" s="11">
        <f>IF($A158="","",IFERROR(K158/L158,0))</f>
        <v/>
      </c>
      <c r="Y158" s="13">
        <f>IF($A158="","",IFERROR(C158-O158,0))</f>
        <v/>
      </c>
      <c r="Z158" s="13">
        <f>IF($A158="","",IFERROR(O158/N158,0))</f>
        <v/>
      </c>
      <c r="AA158" s="11">
        <f>IF($A158="","",IFERROR(M158/G158,0))</f>
        <v/>
      </c>
    </row>
    <row r="159" ht="22" customHeight="1">
      <c r="A159" s="9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1">
        <f>IF($A159="","",IFERROR(C159/B159,0))</f>
        <v/>
      </c>
      <c r="R159" s="12">
        <f>IF($A159="","",MAX(I159-H159,0))</f>
        <v/>
      </c>
      <c r="S159" s="11">
        <f>IF($A159="","",IFERROR(C159/B159,0))</f>
        <v/>
      </c>
      <c r="T159" s="11">
        <f>IF($A159="","",IFERROR(D159/E159,0))</f>
        <v/>
      </c>
      <c r="U159" s="11">
        <f>IF($A159="","",IFERROR(F159/G159,0))</f>
        <v/>
      </c>
      <c r="V159" s="11">
        <f>IF($A159="","",IFERROR(H159/I159,0))</f>
        <v/>
      </c>
      <c r="W159" s="13">
        <f>IF($A159="","",IFERROR(J159/N159,0))</f>
        <v/>
      </c>
      <c r="X159" s="11">
        <f>IF($A159="","",IFERROR(K159/L159,0))</f>
        <v/>
      </c>
      <c r="Y159" s="13">
        <f>IF($A159="","",IFERROR(C159-O159,0))</f>
        <v/>
      </c>
      <c r="Z159" s="13">
        <f>IF($A159="","",IFERROR(O159/N159,0))</f>
        <v/>
      </c>
      <c r="AA159" s="11">
        <f>IF($A159="","",IFERROR(M159/G159,0))</f>
        <v/>
      </c>
    </row>
    <row r="160" ht="22" customHeight="1">
      <c r="A160" s="9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1">
        <f>IF($A160="","",IFERROR(C160/B160,0))</f>
        <v/>
      </c>
      <c r="R160" s="12">
        <f>IF($A160="","",MAX(I160-H160,0))</f>
        <v/>
      </c>
      <c r="S160" s="11">
        <f>IF($A160="","",IFERROR(C160/B160,0))</f>
        <v/>
      </c>
      <c r="T160" s="11">
        <f>IF($A160="","",IFERROR(D160/E160,0))</f>
        <v/>
      </c>
      <c r="U160" s="11">
        <f>IF($A160="","",IFERROR(F160/G160,0))</f>
        <v/>
      </c>
      <c r="V160" s="11">
        <f>IF($A160="","",IFERROR(H160/I160,0))</f>
        <v/>
      </c>
      <c r="W160" s="13">
        <f>IF($A160="","",IFERROR(J160/N160,0))</f>
        <v/>
      </c>
      <c r="X160" s="11">
        <f>IF($A160="","",IFERROR(K160/L160,0))</f>
        <v/>
      </c>
      <c r="Y160" s="13">
        <f>IF($A160="","",IFERROR(C160-O160,0))</f>
        <v/>
      </c>
      <c r="Z160" s="13">
        <f>IF($A160="","",IFERROR(O160/N160,0))</f>
        <v/>
      </c>
      <c r="AA160" s="11">
        <f>IF($A160="","",IFERROR(M160/G160,0))</f>
        <v/>
      </c>
    </row>
    <row r="161" ht="22" customHeight="1">
      <c r="A161" s="9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1">
        <f>IF($A161="","",IFERROR(C161/B161,0))</f>
        <v/>
      </c>
      <c r="R161" s="12">
        <f>IF($A161="","",MAX(I161-H161,0))</f>
        <v/>
      </c>
      <c r="S161" s="11">
        <f>IF($A161="","",IFERROR(C161/B161,0))</f>
        <v/>
      </c>
      <c r="T161" s="11">
        <f>IF($A161="","",IFERROR(D161/E161,0))</f>
        <v/>
      </c>
      <c r="U161" s="11">
        <f>IF($A161="","",IFERROR(F161/G161,0))</f>
        <v/>
      </c>
      <c r="V161" s="11">
        <f>IF($A161="","",IFERROR(H161/I161,0))</f>
        <v/>
      </c>
      <c r="W161" s="13">
        <f>IF($A161="","",IFERROR(J161/N161,0))</f>
        <v/>
      </c>
      <c r="X161" s="11">
        <f>IF($A161="","",IFERROR(K161/L161,0))</f>
        <v/>
      </c>
      <c r="Y161" s="13">
        <f>IF($A161="","",IFERROR(C161-O161,0))</f>
        <v/>
      </c>
      <c r="Z161" s="13">
        <f>IF($A161="","",IFERROR(O161/N161,0))</f>
        <v/>
      </c>
      <c r="AA161" s="11">
        <f>IF($A161="","",IFERROR(M161/G161,0))</f>
        <v/>
      </c>
    </row>
    <row r="162" ht="22" customHeight="1">
      <c r="A162" s="9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1">
        <f>IF($A162="","",IFERROR(C162/B162,0))</f>
        <v/>
      </c>
      <c r="R162" s="12">
        <f>IF($A162="","",MAX(I162-H162,0))</f>
        <v/>
      </c>
      <c r="S162" s="11">
        <f>IF($A162="","",IFERROR(C162/B162,0))</f>
        <v/>
      </c>
      <c r="T162" s="11">
        <f>IF($A162="","",IFERROR(D162/E162,0))</f>
        <v/>
      </c>
      <c r="U162" s="11">
        <f>IF($A162="","",IFERROR(F162/G162,0))</f>
        <v/>
      </c>
      <c r="V162" s="11">
        <f>IF($A162="","",IFERROR(H162/I162,0))</f>
        <v/>
      </c>
      <c r="W162" s="13">
        <f>IF($A162="","",IFERROR(J162/N162,0))</f>
        <v/>
      </c>
      <c r="X162" s="11">
        <f>IF($A162="","",IFERROR(K162/L162,0))</f>
        <v/>
      </c>
      <c r="Y162" s="13">
        <f>IF($A162="","",IFERROR(C162-O162,0))</f>
        <v/>
      </c>
      <c r="Z162" s="13">
        <f>IF($A162="","",IFERROR(O162/N162,0))</f>
        <v/>
      </c>
      <c r="AA162" s="11">
        <f>IF($A162="","",IFERROR(M162/G162,0))</f>
        <v/>
      </c>
    </row>
    <row r="163" ht="22" customHeight="1">
      <c r="A163" s="9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1">
        <f>IF($A163="","",IFERROR(C163/B163,0))</f>
        <v/>
      </c>
      <c r="R163" s="12">
        <f>IF($A163="","",MAX(I163-H163,0))</f>
        <v/>
      </c>
      <c r="S163" s="11">
        <f>IF($A163="","",IFERROR(C163/B163,0))</f>
        <v/>
      </c>
      <c r="T163" s="11">
        <f>IF($A163="","",IFERROR(D163/E163,0))</f>
        <v/>
      </c>
      <c r="U163" s="11">
        <f>IF($A163="","",IFERROR(F163/G163,0))</f>
        <v/>
      </c>
      <c r="V163" s="11">
        <f>IF($A163="","",IFERROR(H163/I163,0))</f>
        <v/>
      </c>
      <c r="W163" s="13">
        <f>IF($A163="","",IFERROR(J163/N163,0))</f>
        <v/>
      </c>
      <c r="X163" s="11">
        <f>IF($A163="","",IFERROR(K163/L163,0))</f>
        <v/>
      </c>
      <c r="Y163" s="13">
        <f>IF($A163="","",IFERROR(C163-O163,0))</f>
        <v/>
      </c>
      <c r="Z163" s="13">
        <f>IF($A163="","",IFERROR(O163/N163,0))</f>
        <v/>
      </c>
      <c r="AA163" s="11">
        <f>IF($A163="","",IFERROR(M163/G163,0))</f>
        <v/>
      </c>
    </row>
    <row r="164" ht="22" customHeight="1">
      <c r="A164" s="9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1">
        <f>IF($A164="","",IFERROR(C164/B164,0))</f>
        <v/>
      </c>
      <c r="R164" s="12">
        <f>IF($A164="","",MAX(I164-H164,0))</f>
        <v/>
      </c>
      <c r="S164" s="11">
        <f>IF($A164="","",IFERROR(C164/B164,0))</f>
        <v/>
      </c>
      <c r="T164" s="11">
        <f>IF($A164="","",IFERROR(D164/E164,0))</f>
        <v/>
      </c>
      <c r="U164" s="11">
        <f>IF($A164="","",IFERROR(F164/G164,0))</f>
        <v/>
      </c>
      <c r="V164" s="11">
        <f>IF($A164="","",IFERROR(H164/I164,0))</f>
        <v/>
      </c>
      <c r="W164" s="13">
        <f>IF($A164="","",IFERROR(J164/N164,0))</f>
        <v/>
      </c>
      <c r="X164" s="11">
        <f>IF($A164="","",IFERROR(K164/L164,0))</f>
        <v/>
      </c>
      <c r="Y164" s="13">
        <f>IF($A164="","",IFERROR(C164-O164,0))</f>
        <v/>
      </c>
      <c r="Z164" s="13">
        <f>IF($A164="","",IFERROR(O164/N164,0))</f>
        <v/>
      </c>
      <c r="AA164" s="11">
        <f>IF($A164="","",IFERROR(M164/G164,0))</f>
        <v/>
      </c>
    </row>
    <row r="165" ht="22" customHeight="1">
      <c r="A165" s="9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1">
        <f>IF($A165="","",IFERROR(C165/B165,0))</f>
        <v/>
      </c>
      <c r="R165" s="12">
        <f>IF($A165="","",MAX(I165-H165,0))</f>
        <v/>
      </c>
      <c r="S165" s="11">
        <f>IF($A165="","",IFERROR(C165/B165,0))</f>
        <v/>
      </c>
      <c r="T165" s="11">
        <f>IF($A165="","",IFERROR(D165/E165,0))</f>
        <v/>
      </c>
      <c r="U165" s="11">
        <f>IF($A165="","",IFERROR(F165/G165,0))</f>
        <v/>
      </c>
      <c r="V165" s="11">
        <f>IF($A165="","",IFERROR(H165/I165,0))</f>
        <v/>
      </c>
      <c r="W165" s="13">
        <f>IF($A165="","",IFERROR(J165/N165,0))</f>
        <v/>
      </c>
      <c r="X165" s="11">
        <f>IF($A165="","",IFERROR(K165/L165,0))</f>
        <v/>
      </c>
      <c r="Y165" s="13">
        <f>IF($A165="","",IFERROR(C165-O165,0))</f>
        <v/>
      </c>
      <c r="Z165" s="13">
        <f>IF($A165="","",IFERROR(O165/N165,0))</f>
        <v/>
      </c>
      <c r="AA165" s="11">
        <f>IF($A165="","",IFERROR(M165/G165,0))</f>
        <v/>
      </c>
    </row>
    <row r="166" ht="22" customHeight="1">
      <c r="A166" s="9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1">
        <f>IF($A166="","",IFERROR(C166/B166,0))</f>
        <v/>
      </c>
      <c r="R166" s="12">
        <f>IF($A166="","",MAX(I166-H166,0))</f>
        <v/>
      </c>
      <c r="S166" s="11">
        <f>IF($A166="","",IFERROR(C166/B166,0))</f>
        <v/>
      </c>
      <c r="T166" s="11">
        <f>IF($A166="","",IFERROR(D166/E166,0))</f>
        <v/>
      </c>
      <c r="U166" s="11">
        <f>IF($A166="","",IFERROR(F166/G166,0))</f>
        <v/>
      </c>
      <c r="V166" s="11">
        <f>IF($A166="","",IFERROR(H166/I166,0))</f>
        <v/>
      </c>
      <c r="W166" s="13">
        <f>IF($A166="","",IFERROR(J166/N166,0))</f>
        <v/>
      </c>
      <c r="X166" s="11">
        <f>IF($A166="","",IFERROR(K166/L166,0))</f>
        <v/>
      </c>
      <c r="Y166" s="13">
        <f>IF($A166="","",IFERROR(C166-O166,0))</f>
        <v/>
      </c>
      <c r="Z166" s="13">
        <f>IF($A166="","",IFERROR(O166/N166,0))</f>
        <v/>
      </c>
      <c r="AA166" s="11">
        <f>IF($A166="","",IFERROR(M166/G166,0))</f>
        <v/>
      </c>
    </row>
    <row r="167" ht="22" customHeight="1">
      <c r="A167" s="9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1">
        <f>IF($A167="","",IFERROR(C167/B167,0))</f>
        <v/>
      </c>
      <c r="R167" s="12">
        <f>IF($A167="","",MAX(I167-H167,0))</f>
        <v/>
      </c>
      <c r="S167" s="11">
        <f>IF($A167="","",IFERROR(C167/B167,0))</f>
        <v/>
      </c>
      <c r="T167" s="11">
        <f>IF($A167="","",IFERROR(D167/E167,0))</f>
        <v/>
      </c>
      <c r="U167" s="11">
        <f>IF($A167="","",IFERROR(F167/G167,0))</f>
        <v/>
      </c>
      <c r="V167" s="11">
        <f>IF($A167="","",IFERROR(H167/I167,0))</f>
        <v/>
      </c>
      <c r="W167" s="13">
        <f>IF($A167="","",IFERROR(J167/N167,0))</f>
        <v/>
      </c>
      <c r="X167" s="11">
        <f>IF($A167="","",IFERROR(K167/L167,0))</f>
        <v/>
      </c>
      <c r="Y167" s="13">
        <f>IF($A167="","",IFERROR(C167-O167,0))</f>
        <v/>
      </c>
      <c r="Z167" s="13">
        <f>IF($A167="","",IFERROR(O167/N167,0))</f>
        <v/>
      </c>
      <c r="AA167" s="11">
        <f>IF($A167="","",IFERROR(M167/G167,0))</f>
        <v/>
      </c>
    </row>
    <row r="168" ht="22" customHeight="1">
      <c r="A168" s="9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1">
        <f>IF($A168="","",IFERROR(C168/B168,0))</f>
        <v/>
      </c>
      <c r="R168" s="12">
        <f>IF($A168="","",MAX(I168-H168,0))</f>
        <v/>
      </c>
      <c r="S168" s="11">
        <f>IF($A168="","",IFERROR(C168/B168,0))</f>
        <v/>
      </c>
      <c r="T168" s="11">
        <f>IF($A168="","",IFERROR(D168/E168,0))</f>
        <v/>
      </c>
      <c r="U168" s="11">
        <f>IF($A168="","",IFERROR(F168/G168,0))</f>
        <v/>
      </c>
      <c r="V168" s="11">
        <f>IF($A168="","",IFERROR(H168/I168,0))</f>
        <v/>
      </c>
      <c r="W168" s="13">
        <f>IF($A168="","",IFERROR(J168/N168,0))</f>
        <v/>
      </c>
      <c r="X168" s="11">
        <f>IF($A168="","",IFERROR(K168/L168,0))</f>
        <v/>
      </c>
      <c r="Y168" s="13">
        <f>IF($A168="","",IFERROR(C168-O168,0))</f>
        <v/>
      </c>
      <c r="Z168" s="13">
        <f>IF($A168="","",IFERROR(O168/N168,0))</f>
        <v/>
      </c>
      <c r="AA168" s="11">
        <f>IF($A168="","",IFERROR(M168/G168,0))</f>
        <v/>
      </c>
    </row>
    <row r="169" ht="22" customHeight="1">
      <c r="A169" s="9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1">
        <f>IF($A169="","",IFERROR(C169/B169,0))</f>
        <v/>
      </c>
      <c r="R169" s="12">
        <f>IF($A169="","",MAX(I169-H169,0))</f>
        <v/>
      </c>
      <c r="S169" s="11">
        <f>IF($A169="","",IFERROR(C169/B169,0))</f>
        <v/>
      </c>
      <c r="T169" s="11">
        <f>IF($A169="","",IFERROR(D169/E169,0))</f>
        <v/>
      </c>
      <c r="U169" s="11">
        <f>IF($A169="","",IFERROR(F169/G169,0))</f>
        <v/>
      </c>
      <c r="V169" s="11">
        <f>IF($A169="","",IFERROR(H169/I169,0))</f>
        <v/>
      </c>
      <c r="W169" s="13">
        <f>IF($A169="","",IFERROR(J169/N169,0))</f>
        <v/>
      </c>
      <c r="X169" s="11">
        <f>IF($A169="","",IFERROR(K169/L169,0))</f>
        <v/>
      </c>
      <c r="Y169" s="13">
        <f>IF($A169="","",IFERROR(C169-O169,0))</f>
        <v/>
      </c>
      <c r="Z169" s="13">
        <f>IF($A169="","",IFERROR(O169/N169,0))</f>
        <v/>
      </c>
      <c r="AA169" s="11">
        <f>IF($A169="","",IFERROR(M169/G169,0))</f>
        <v/>
      </c>
    </row>
    <row r="170" ht="22" customHeight="1">
      <c r="A170" s="9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1">
        <f>IF($A170="","",IFERROR(C170/B170,0))</f>
        <v/>
      </c>
      <c r="R170" s="12">
        <f>IF($A170="","",MAX(I170-H170,0))</f>
        <v/>
      </c>
      <c r="S170" s="11">
        <f>IF($A170="","",IFERROR(C170/B170,0))</f>
        <v/>
      </c>
      <c r="T170" s="11">
        <f>IF($A170="","",IFERROR(D170/E170,0))</f>
        <v/>
      </c>
      <c r="U170" s="11">
        <f>IF($A170="","",IFERROR(F170/G170,0))</f>
        <v/>
      </c>
      <c r="V170" s="11">
        <f>IF($A170="","",IFERROR(H170/I170,0))</f>
        <v/>
      </c>
      <c r="W170" s="13">
        <f>IF($A170="","",IFERROR(J170/N170,0))</f>
        <v/>
      </c>
      <c r="X170" s="11">
        <f>IF($A170="","",IFERROR(K170/L170,0))</f>
        <v/>
      </c>
      <c r="Y170" s="13">
        <f>IF($A170="","",IFERROR(C170-O170,0))</f>
        <v/>
      </c>
      <c r="Z170" s="13">
        <f>IF($A170="","",IFERROR(O170/N170,0))</f>
        <v/>
      </c>
      <c r="AA170" s="11">
        <f>IF($A170="","",IFERROR(M170/G170,0))</f>
        <v/>
      </c>
    </row>
    <row r="171" ht="22" customHeight="1">
      <c r="A171" s="9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1">
        <f>IF($A171="","",IFERROR(C171/B171,0))</f>
        <v/>
      </c>
      <c r="R171" s="12">
        <f>IF($A171="","",MAX(I171-H171,0))</f>
        <v/>
      </c>
      <c r="S171" s="11">
        <f>IF($A171="","",IFERROR(C171/B171,0))</f>
        <v/>
      </c>
      <c r="T171" s="11">
        <f>IF($A171="","",IFERROR(D171/E171,0))</f>
        <v/>
      </c>
      <c r="U171" s="11">
        <f>IF($A171="","",IFERROR(F171/G171,0))</f>
        <v/>
      </c>
      <c r="V171" s="11">
        <f>IF($A171="","",IFERROR(H171/I171,0))</f>
        <v/>
      </c>
      <c r="W171" s="13">
        <f>IF($A171="","",IFERROR(J171/N171,0))</f>
        <v/>
      </c>
      <c r="X171" s="11">
        <f>IF($A171="","",IFERROR(K171/L171,0))</f>
        <v/>
      </c>
      <c r="Y171" s="13">
        <f>IF($A171="","",IFERROR(C171-O171,0))</f>
        <v/>
      </c>
      <c r="Z171" s="13">
        <f>IF($A171="","",IFERROR(O171/N171,0))</f>
        <v/>
      </c>
      <c r="AA171" s="11">
        <f>IF($A171="","",IFERROR(M171/G171,0))</f>
        <v/>
      </c>
    </row>
    <row r="172" ht="22" customHeight="1">
      <c r="A172" s="9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1">
        <f>IF($A172="","",IFERROR(C172/B172,0))</f>
        <v/>
      </c>
      <c r="R172" s="12">
        <f>IF($A172="","",MAX(I172-H172,0))</f>
        <v/>
      </c>
      <c r="S172" s="11">
        <f>IF($A172="","",IFERROR(C172/B172,0))</f>
        <v/>
      </c>
      <c r="T172" s="11">
        <f>IF($A172="","",IFERROR(D172/E172,0))</f>
        <v/>
      </c>
      <c r="U172" s="11">
        <f>IF($A172="","",IFERROR(F172/G172,0))</f>
        <v/>
      </c>
      <c r="V172" s="11">
        <f>IF($A172="","",IFERROR(H172/I172,0))</f>
        <v/>
      </c>
      <c r="W172" s="13">
        <f>IF($A172="","",IFERROR(J172/N172,0))</f>
        <v/>
      </c>
      <c r="X172" s="11">
        <f>IF($A172="","",IFERROR(K172/L172,0))</f>
        <v/>
      </c>
      <c r="Y172" s="13">
        <f>IF($A172="","",IFERROR(C172-O172,0))</f>
        <v/>
      </c>
      <c r="Z172" s="13">
        <f>IF($A172="","",IFERROR(O172/N172,0))</f>
        <v/>
      </c>
      <c r="AA172" s="11">
        <f>IF($A172="","",IFERROR(M172/G172,0))</f>
        <v/>
      </c>
    </row>
    <row r="173" ht="22" customHeight="1">
      <c r="A173" s="9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1">
        <f>IF($A173="","",IFERROR(C173/B173,0))</f>
        <v/>
      </c>
      <c r="R173" s="12">
        <f>IF($A173="","",MAX(I173-H173,0))</f>
        <v/>
      </c>
      <c r="S173" s="11">
        <f>IF($A173="","",IFERROR(C173/B173,0))</f>
        <v/>
      </c>
      <c r="T173" s="11">
        <f>IF($A173="","",IFERROR(D173/E173,0))</f>
        <v/>
      </c>
      <c r="U173" s="11">
        <f>IF($A173="","",IFERROR(F173/G173,0))</f>
        <v/>
      </c>
      <c r="V173" s="11">
        <f>IF($A173="","",IFERROR(H173/I173,0))</f>
        <v/>
      </c>
      <c r="W173" s="13">
        <f>IF($A173="","",IFERROR(J173/N173,0))</f>
        <v/>
      </c>
      <c r="X173" s="11">
        <f>IF($A173="","",IFERROR(K173/L173,0))</f>
        <v/>
      </c>
      <c r="Y173" s="13">
        <f>IF($A173="","",IFERROR(C173-O173,0))</f>
        <v/>
      </c>
      <c r="Z173" s="13">
        <f>IF($A173="","",IFERROR(O173/N173,0))</f>
        <v/>
      </c>
      <c r="AA173" s="11">
        <f>IF($A173="","",IFERROR(M173/G173,0))</f>
        <v/>
      </c>
    </row>
    <row r="174" ht="22" customHeight="1">
      <c r="A174" s="9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1">
        <f>IF($A174="","",IFERROR(C174/B174,0))</f>
        <v/>
      </c>
      <c r="R174" s="12">
        <f>IF($A174="","",MAX(I174-H174,0))</f>
        <v/>
      </c>
      <c r="S174" s="11">
        <f>IF($A174="","",IFERROR(C174/B174,0))</f>
        <v/>
      </c>
      <c r="T174" s="11">
        <f>IF($A174="","",IFERROR(D174/E174,0))</f>
        <v/>
      </c>
      <c r="U174" s="11">
        <f>IF($A174="","",IFERROR(F174/G174,0))</f>
        <v/>
      </c>
      <c r="V174" s="11">
        <f>IF($A174="","",IFERROR(H174/I174,0))</f>
        <v/>
      </c>
      <c r="W174" s="13">
        <f>IF($A174="","",IFERROR(J174/N174,0))</f>
        <v/>
      </c>
      <c r="X174" s="11">
        <f>IF($A174="","",IFERROR(K174/L174,0))</f>
        <v/>
      </c>
      <c r="Y174" s="13">
        <f>IF($A174="","",IFERROR(C174-O174,0))</f>
        <v/>
      </c>
      <c r="Z174" s="13">
        <f>IF($A174="","",IFERROR(O174/N174,0))</f>
        <v/>
      </c>
      <c r="AA174" s="11">
        <f>IF($A174="","",IFERROR(M174/G174,0))</f>
        <v/>
      </c>
    </row>
    <row r="175" ht="22" customHeight="1">
      <c r="A175" s="9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1">
        <f>IF($A175="","",IFERROR(C175/B175,0))</f>
        <v/>
      </c>
      <c r="R175" s="12">
        <f>IF($A175="","",MAX(I175-H175,0))</f>
        <v/>
      </c>
      <c r="S175" s="11">
        <f>IF($A175="","",IFERROR(C175/B175,0))</f>
        <v/>
      </c>
      <c r="T175" s="11">
        <f>IF($A175="","",IFERROR(D175/E175,0))</f>
        <v/>
      </c>
      <c r="U175" s="11">
        <f>IF($A175="","",IFERROR(F175/G175,0))</f>
        <v/>
      </c>
      <c r="V175" s="11">
        <f>IF($A175="","",IFERROR(H175/I175,0))</f>
        <v/>
      </c>
      <c r="W175" s="13">
        <f>IF($A175="","",IFERROR(J175/N175,0))</f>
        <v/>
      </c>
      <c r="X175" s="11">
        <f>IF($A175="","",IFERROR(K175/L175,0))</f>
        <v/>
      </c>
      <c r="Y175" s="13">
        <f>IF($A175="","",IFERROR(C175-O175,0))</f>
        <v/>
      </c>
      <c r="Z175" s="13">
        <f>IF($A175="","",IFERROR(O175/N175,0))</f>
        <v/>
      </c>
      <c r="AA175" s="11">
        <f>IF($A175="","",IFERROR(M175/G175,0))</f>
        <v/>
      </c>
    </row>
    <row r="176" ht="22" customHeight="1">
      <c r="A176" s="9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1">
        <f>IF($A176="","",IFERROR(C176/B176,0))</f>
        <v/>
      </c>
      <c r="R176" s="12">
        <f>IF($A176="","",MAX(I176-H176,0))</f>
        <v/>
      </c>
      <c r="S176" s="11">
        <f>IF($A176="","",IFERROR(C176/B176,0))</f>
        <v/>
      </c>
      <c r="T176" s="11">
        <f>IF($A176="","",IFERROR(D176/E176,0))</f>
        <v/>
      </c>
      <c r="U176" s="11">
        <f>IF($A176="","",IFERROR(F176/G176,0))</f>
        <v/>
      </c>
      <c r="V176" s="11">
        <f>IF($A176="","",IFERROR(H176/I176,0))</f>
        <v/>
      </c>
      <c r="W176" s="13">
        <f>IF($A176="","",IFERROR(J176/N176,0))</f>
        <v/>
      </c>
      <c r="X176" s="11">
        <f>IF($A176="","",IFERROR(K176/L176,0))</f>
        <v/>
      </c>
      <c r="Y176" s="13">
        <f>IF($A176="","",IFERROR(C176-O176,0))</f>
        <v/>
      </c>
      <c r="Z176" s="13">
        <f>IF($A176="","",IFERROR(O176/N176,0))</f>
        <v/>
      </c>
      <c r="AA176" s="11">
        <f>IF($A176="","",IFERROR(M176/G176,0))</f>
        <v/>
      </c>
    </row>
    <row r="177" ht="22" customHeight="1">
      <c r="A177" s="9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1">
        <f>IF($A177="","",IFERROR(C177/B177,0))</f>
        <v/>
      </c>
      <c r="R177" s="12">
        <f>IF($A177="","",MAX(I177-H177,0))</f>
        <v/>
      </c>
      <c r="S177" s="11">
        <f>IF($A177="","",IFERROR(C177/B177,0))</f>
        <v/>
      </c>
      <c r="T177" s="11">
        <f>IF($A177="","",IFERROR(D177/E177,0))</f>
        <v/>
      </c>
      <c r="U177" s="11">
        <f>IF($A177="","",IFERROR(F177/G177,0))</f>
        <v/>
      </c>
      <c r="V177" s="11">
        <f>IF($A177="","",IFERROR(H177/I177,0))</f>
        <v/>
      </c>
      <c r="W177" s="13">
        <f>IF($A177="","",IFERROR(J177/N177,0))</f>
        <v/>
      </c>
      <c r="X177" s="11">
        <f>IF($A177="","",IFERROR(K177/L177,0))</f>
        <v/>
      </c>
      <c r="Y177" s="13">
        <f>IF($A177="","",IFERROR(C177-O177,0))</f>
        <v/>
      </c>
      <c r="Z177" s="13">
        <f>IF($A177="","",IFERROR(O177/N177,0))</f>
        <v/>
      </c>
      <c r="AA177" s="11">
        <f>IF($A177="","",IFERROR(M177/G177,0))</f>
        <v/>
      </c>
    </row>
    <row r="178" ht="22" customHeight="1">
      <c r="A178" s="9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1">
        <f>IF($A178="","",IFERROR(C178/B178,0))</f>
        <v/>
      </c>
      <c r="R178" s="12">
        <f>IF($A178="","",MAX(I178-H178,0))</f>
        <v/>
      </c>
      <c r="S178" s="11">
        <f>IF($A178="","",IFERROR(C178/B178,0))</f>
        <v/>
      </c>
      <c r="T178" s="11">
        <f>IF($A178="","",IFERROR(D178/E178,0))</f>
        <v/>
      </c>
      <c r="U178" s="11">
        <f>IF($A178="","",IFERROR(F178/G178,0))</f>
        <v/>
      </c>
      <c r="V178" s="11">
        <f>IF($A178="","",IFERROR(H178/I178,0))</f>
        <v/>
      </c>
      <c r="W178" s="13">
        <f>IF($A178="","",IFERROR(J178/N178,0))</f>
        <v/>
      </c>
      <c r="X178" s="11">
        <f>IF($A178="","",IFERROR(K178/L178,0))</f>
        <v/>
      </c>
      <c r="Y178" s="13">
        <f>IF($A178="","",IFERROR(C178-O178,0))</f>
        <v/>
      </c>
      <c r="Z178" s="13">
        <f>IF($A178="","",IFERROR(O178/N178,0))</f>
        <v/>
      </c>
      <c r="AA178" s="11">
        <f>IF($A178="","",IFERROR(M178/G178,0))</f>
        <v/>
      </c>
    </row>
    <row r="179" ht="22" customHeight="1">
      <c r="A179" s="9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1">
        <f>IF($A179="","",IFERROR(C179/B179,0))</f>
        <v/>
      </c>
      <c r="R179" s="12">
        <f>IF($A179="","",MAX(I179-H179,0))</f>
        <v/>
      </c>
      <c r="S179" s="11">
        <f>IF($A179="","",IFERROR(C179/B179,0))</f>
        <v/>
      </c>
      <c r="T179" s="11">
        <f>IF($A179="","",IFERROR(D179/E179,0))</f>
        <v/>
      </c>
      <c r="U179" s="11">
        <f>IF($A179="","",IFERROR(F179/G179,0))</f>
        <v/>
      </c>
      <c r="V179" s="11">
        <f>IF($A179="","",IFERROR(H179/I179,0))</f>
        <v/>
      </c>
      <c r="W179" s="13">
        <f>IF($A179="","",IFERROR(J179/N179,0))</f>
        <v/>
      </c>
      <c r="X179" s="11">
        <f>IF($A179="","",IFERROR(K179/L179,0))</f>
        <v/>
      </c>
      <c r="Y179" s="13">
        <f>IF($A179="","",IFERROR(C179-O179,0))</f>
        <v/>
      </c>
      <c r="Z179" s="13">
        <f>IF($A179="","",IFERROR(O179/N179,0))</f>
        <v/>
      </c>
      <c r="AA179" s="11">
        <f>IF($A179="","",IFERROR(M179/G179,0))</f>
        <v/>
      </c>
    </row>
    <row r="180" ht="22" customHeight="1">
      <c r="A180" s="9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1">
        <f>IF($A180="","",IFERROR(C180/B180,0))</f>
        <v/>
      </c>
      <c r="R180" s="12">
        <f>IF($A180="","",MAX(I180-H180,0))</f>
        <v/>
      </c>
      <c r="S180" s="11">
        <f>IF($A180="","",IFERROR(C180/B180,0))</f>
        <v/>
      </c>
      <c r="T180" s="11">
        <f>IF($A180="","",IFERROR(D180/E180,0))</f>
        <v/>
      </c>
      <c r="U180" s="11">
        <f>IF($A180="","",IFERROR(F180/G180,0))</f>
        <v/>
      </c>
      <c r="V180" s="11">
        <f>IF($A180="","",IFERROR(H180/I180,0))</f>
        <v/>
      </c>
      <c r="W180" s="13">
        <f>IF($A180="","",IFERROR(J180/N180,0))</f>
        <v/>
      </c>
      <c r="X180" s="11">
        <f>IF($A180="","",IFERROR(K180/L180,0))</f>
        <v/>
      </c>
      <c r="Y180" s="13">
        <f>IF($A180="","",IFERROR(C180-O180,0))</f>
        <v/>
      </c>
      <c r="Z180" s="13">
        <f>IF($A180="","",IFERROR(O180/N180,0))</f>
        <v/>
      </c>
      <c r="AA180" s="11">
        <f>IF($A180="","",IFERROR(M180/G180,0))</f>
        <v/>
      </c>
    </row>
    <row r="181" ht="22" customHeight="1">
      <c r="A181" s="9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1">
        <f>IF($A181="","",IFERROR(C181/B181,0))</f>
        <v/>
      </c>
      <c r="R181" s="12">
        <f>IF($A181="","",MAX(I181-H181,0))</f>
        <v/>
      </c>
      <c r="S181" s="11">
        <f>IF($A181="","",IFERROR(C181/B181,0))</f>
        <v/>
      </c>
      <c r="T181" s="11">
        <f>IF($A181="","",IFERROR(D181/E181,0))</f>
        <v/>
      </c>
      <c r="U181" s="11">
        <f>IF($A181="","",IFERROR(F181/G181,0))</f>
        <v/>
      </c>
      <c r="V181" s="11">
        <f>IF($A181="","",IFERROR(H181/I181,0))</f>
        <v/>
      </c>
      <c r="W181" s="13">
        <f>IF($A181="","",IFERROR(J181/N181,0))</f>
        <v/>
      </c>
      <c r="X181" s="11">
        <f>IF($A181="","",IFERROR(K181/L181,0))</f>
        <v/>
      </c>
      <c r="Y181" s="13">
        <f>IF($A181="","",IFERROR(C181-O181,0))</f>
        <v/>
      </c>
      <c r="Z181" s="13">
        <f>IF($A181="","",IFERROR(O181/N181,0))</f>
        <v/>
      </c>
      <c r="AA181" s="11">
        <f>IF($A181="","",IFERROR(M181/G181,0))</f>
        <v/>
      </c>
    </row>
    <row r="182" ht="22" customHeight="1">
      <c r="A182" s="9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1">
        <f>IF($A182="","",IFERROR(C182/B182,0))</f>
        <v/>
      </c>
      <c r="R182" s="12">
        <f>IF($A182="","",MAX(I182-H182,0))</f>
        <v/>
      </c>
      <c r="S182" s="11">
        <f>IF($A182="","",IFERROR(C182/B182,0))</f>
        <v/>
      </c>
      <c r="T182" s="11">
        <f>IF($A182="","",IFERROR(D182/E182,0))</f>
        <v/>
      </c>
      <c r="U182" s="11">
        <f>IF($A182="","",IFERROR(F182/G182,0))</f>
        <v/>
      </c>
      <c r="V182" s="11">
        <f>IF($A182="","",IFERROR(H182/I182,0))</f>
        <v/>
      </c>
      <c r="W182" s="13">
        <f>IF($A182="","",IFERROR(J182/N182,0))</f>
        <v/>
      </c>
      <c r="X182" s="11">
        <f>IF($A182="","",IFERROR(K182/L182,0))</f>
        <v/>
      </c>
      <c r="Y182" s="13">
        <f>IF($A182="","",IFERROR(C182-O182,0))</f>
        <v/>
      </c>
      <c r="Z182" s="13">
        <f>IF($A182="","",IFERROR(O182/N182,0))</f>
        <v/>
      </c>
      <c r="AA182" s="11">
        <f>IF($A182="","",IFERROR(M182/G182,0))</f>
        <v/>
      </c>
    </row>
    <row r="183" ht="22" customHeight="1">
      <c r="A183" s="9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1">
        <f>IF($A183="","",IFERROR(C183/B183,0))</f>
        <v/>
      </c>
      <c r="R183" s="12">
        <f>IF($A183="","",MAX(I183-H183,0))</f>
        <v/>
      </c>
      <c r="S183" s="11">
        <f>IF($A183="","",IFERROR(C183/B183,0))</f>
        <v/>
      </c>
      <c r="T183" s="11">
        <f>IF($A183="","",IFERROR(D183/E183,0))</f>
        <v/>
      </c>
      <c r="U183" s="11">
        <f>IF($A183="","",IFERROR(F183/G183,0))</f>
        <v/>
      </c>
      <c r="V183" s="11">
        <f>IF($A183="","",IFERROR(H183/I183,0))</f>
        <v/>
      </c>
      <c r="W183" s="13">
        <f>IF($A183="","",IFERROR(J183/N183,0))</f>
        <v/>
      </c>
      <c r="X183" s="11">
        <f>IF($A183="","",IFERROR(K183/L183,0))</f>
        <v/>
      </c>
      <c r="Y183" s="13">
        <f>IF($A183="","",IFERROR(C183-O183,0))</f>
        <v/>
      </c>
      <c r="Z183" s="13">
        <f>IF($A183="","",IFERROR(O183/N183,0))</f>
        <v/>
      </c>
      <c r="AA183" s="11">
        <f>IF($A183="","",IFERROR(M183/G183,0))</f>
        <v/>
      </c>
    </row>
    <row r="184" ht="22" customHeight="1">
      <c r="A184" s="9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1">
        <f>IF($A184="","",IFERROR(C184/B184,0))</f>
        <v/>
      </c>
      <c r="R184" s="12">
        <f>IF($A184="","",MAX(I184-H184,0))</f>
        <v/>
      </c>
      <c r="S184" s="11">
        <f>IF($A184="","",IFERROR(C184/B184,0))</f>
        <v/>
      </c>
      <c r="T184" s="11">
        <f>IF($A184="","",IFERROR(D184/E184,0))</f>
        <v/>
      </c>
      <c r="U184" s="11">
        <f>IF($A184="","",IFERROR(F184/G184,0))</f>
        <v/>
      </c>
      <c r="V184" s="11">
        <f>IF($A184="","",IFERROR(H184/I184,0))</f>
        <v/>
      </c>
      <c r="W184" s="13">
        <f>IF($A184="","",IFERROR(J184/N184,0))</f>
        <v/>
      </c>
      <c r="X184" s="11">
        <f>IF($A184="","",IFERROR(K184/L184,0))</f>
        <v/>
      </c>
      <c r="Y184" s="13">
        <f>IF($A184="","",IFERROR(C184-O184,0))</f>
        <v/>
      </c>
      <c r="Z184" s="13">
        <f>IF($A184="","",IFERROR(O184/N184,0))</f>
        <v/>
      </c>
      <c r="AA184" s="11">
        <f>IF($A184="","",IFERROR(M184/G184,0))</f>
        <v/>
      </c>
    </row>
    <row r="185" ht="22" customHeight="1">
      <c r="A185" s="9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1">
        <f>IF($A185="","",IFERROR(C185/B185,0))</f>
        <v/>
      </c>
      <c r="R185" s="12">
        <f>IF($A185="","",MAX(I185-H185,0))</f>
        <v/>
      </c>
      <c r="S185" s="11">
        <f>IF($A185="","",IFERROR(C185/B185,0))</f>
        <v/>
      </c>
      <c r="T185" s="11">
        <f>IF($A185="","",IFERROR(D185/E185,0))</f>
        <v/>
      </c>
      <c r="U185" s="11">
        <f>IF($A185="","",IFERROR(F185/G185,0))</f>
        <v/>
      </c>
      <c r="V185" s="11">
        <f>IF($A185="","",IFERROR(H185/I185,0))</f>
        <v/>
      </c>
      <c r="W185" s="13">
        <f>IF($A185="","",IFERROR(J185/N185,0))</f>
        <v/>
      </c>
      <c r="X185" s="11">
        <f>IF($A185="","",IFERROR(K185/L185,0))</f>
        <v/>
      </c>
      <c r="Y185" s="13">
        <f>IF($A185="","",IFERROR(C185-O185,0))</f>
        <v/>
      </c>
      <c r="Z185" s="13">
        <f>IF($A185="","",IFERROR(O185/N185,0))</f>
        <v/>
      </c>
      <c r="AA185" s="11">
        <f>IF($A185="","",IFERROR(M185/G185,0))</f>
        <v/>
      </c>
    </row>
    <row r="186" ht="22" customHeight="1">
      <c r="A186" s="9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1">
        <f>IF($A186="","",IFERROR(C186/B186,0))</f>
        <v/>
      </c>
      <c r="R186" s="12">
        <f>IF($A186="","",MAX(I186-H186,0))</f>
        <v/>
      </c>
      <c r="S186" s="11">
        <f>IF($A186="","",IFERROR(C186/B186,0))</f>
        <v/>
      </c>
      <c r="T186" s="11">
        <f>IF($A186="","",IFERROR(D186/E186,0))</f>
        <v/>
      </c>
      <c r="U186" s="11">
        <f>IF($A186="","",IFERROR(F186/G186,0))</f>
        <v/>
      </c>
      <c r="V186" s="11">
        <f>IF($A186="","",IFERROR(H186/I186,0))</f>
        <v/>
      </c>
      <c r="W186" s="13">
        <f>IF($A186="","",IFERROR(J186/N186,0))</f>
        <v/>
      </c>
      <c r="X186" s="11">
        <f>IF($A186="","",IFERROR(K186/L186,0))</f>
        <v/>
      </c>
      <c r="Y186" s="13">
        <f>IF($A186="","",IFERROR(C186-O186,0))</f>
        <v/>
      </c>
      <c r="Z186" s="13">
        <f>IF($A186="","",IFERROR(O186/N186,0))</f>
        <v/>
      </c>
      <c r="AA186" s="11">
        <f>IF($A186="","",IFERROR(M186/G186,0))</f>
        <v/>
      </c>
    </row>
    <row r="187" ht="22" customHeight="1">
      <c r="A187" s="9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1">
        <f>IF($A187="","",IFERROR(C187/B187,0))</f>
        <v/>
      </c>
      <c r="R187" s="12">
        <f>IF($A187="","",MAX(I187-H187,0))</f>
        <v/>
      </c>
      <c r="S187" s="11">
        <f>IF($A187="","",IFERROR(C187/B187,0))</f>
        <v/>
      </c>
      <c r="T187" s="11">
        <f>IF($A187="","",IFERROR(D187/E187,0))</f>
        <v/>
      </c>
      <c r="U187" s="11">
        <f>IF($A187="","",IFERROR(F187/G187,0))</f>
        <v/>
      </c>
      <c r="V187" s="11">
        <f>IF($A187="","",IFERROR(H187/I187,0))</f>
        <v/>
      </c>
      <c r="W187" s="13">
        <f>IF($A187="","",IFERROR(J187/N187,0))</f>
        <v/>
      </c>
      <c r="X187" s="11">
        <f>IF($A187="","",IFERROR(K187/L187,0))</f>
        <v/>
      </c>
      <c r="Y187" s="13">
        <f>IF($A187="","",IFERROR(C187-O187,0))</f>
        <v/>
      </c>
      <c r="Z187" s="13">
        <f>IF($A187="","",IFERROR(O187/N187,0))</f>
        <v/>
      </c>
      <c r="AA187" s="11">
        <f>IF($A187="","",IFERROR(M187/G187,0))</f>
        <v/>
      </c>
    </row>
    <row r="188" ht="22" customHeight="1">
      <c r="A188" s="9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1">
        <f>IF($A188="","",IFERROR(C188/B188,0))</f>
        <v/>
      </c>
      <c r="R188" s="12">
        <f>IF($A188="","",MAX(I188-H188,0))</f>
        <v/>
      </c>
      <c r="S188" s="11">
        <f>IF($A188="","",IFERROR(C188/B188,0))</f>
        <v/>
      </c>
      <c r="T188" s="11">
        <f>IF($A188="","",IFERROR(D188/E188,0))</f>
        <v/>
      </c>
      <c r="U188" s="11">
        <f>IF($A188="","",IFERROR(F188/G188,0))</f>
        <v/>
      </c>
      <c r="V188" s="11">
        <f>IF($A188="","",IFERROR(H188/I188,0))</f>
        <v/>
      </c>
      <c r="W188" s="13">
        <f>IF($A188="","",IFERROR(J188/N188,0))</f>
        <v/>
      </c>
      <c r="X188" s="11">
        <f>IF($A188="","",IFERROR(K188/L188,0))</f>
        <v/>
      </c>
      <c r="Y188" s="13">
        <f>IF($A188="","",IFERROR(C188-O188,0))</f>
        <v/>
      </c>
      <c r="Z188" s="13">
        <f>IF($A188="","",IFERROR(O188/N188,0))</f>
        <v/>
      </c>
      <c r="AA188" s="11">
        <f>IF($A188="","",IFERROR(M188/G188,0))</f>
        <v/>
      </c>
    </row>
    <row r="189" ht="22" customHeight="1">
      <c r="A189" s="9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1">
        <f>IF($A189="","",IFERROR(C189/B189,0))</f>
        <v/>
      </c>
      <c r="R189" s="12">
        <f>IF($A189="","",MAX(I189-H189,0))</f>
        <v/>
      </c>
      <c r="S189" s="11">
        <f>IF($A189="","",IFERROR(C189/B189,0))</f>
        <v/>
      </c>
      <c r="T189" s="11">
        <f>IF($A189="","",IFERROR(D189/E189,0))</f>
        <v/>
      </c>
      <c r="U189" s="11">
        <f>IF($A189="","",IFERROR(F189/G189,0))</f>
        <v/>
      </c>
      <c r="V189" s="11">
        <f>IF($A189="","",IFERROR(H189/I189,0))</f>
        <v/>
      </c>
      <c r="W189" s="13">
        <f>IF($A189="","",IFERROR(J189/N189,0))</f>
        <v/>
      </c>
      <c r="X189" s="11">
        <f>IF($A189="","",IFERROR(K189/L189,0))</f>
        <v/>
      </c>
      <c r="Y189" s="13">
        <f>IF($A189="","",IFERROR(C189-O189,0))</f>
        <v/>
      </c>
      <c r="Z189" s="13">
        <f>IF($A189="","",IFERROR(O189/N189,0))</f>
        <v/>
      </c>
      <c r="AA189" s="11">
        <f>IF($A189="","",IFERROR(M189/G189,0))</f>
        <v/>
      </c>
    </row>
    <row r="190" ht="22" customHeight="1">
      <c r="A190" s="9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1">
        <f>IF($A190="","",IFERROR(C190/B190,0))</f>
        <v/>
      </c>
      <c r="R190" s="12">
        <f>IF($A190="","",MAX(I190-H190,0))</f>
        <v/>
      </c>
      <c r="S190" s="11">
        <f>IF($A190="","",IFERROR(C190/B190,0))</f>
        <v/>
      </c>
      <c r="T190" s="11">
        <f>IF($A190="","",IFERROR(D190/E190,0))</f>
        <v/>
      </c>
      <c r="U190" s="11">
        <f>IF($A190="","",IFERROR(F190/G190,0))</f>
        <v/>
      </c>
      <c r="V190" s="11">
        <f>IF($A190="","",IFERROR(H190/I190,0))</f>
        <v/>
      </c>
      <c r="W190" s="13">
        <f>IF($A190="","",IFERROR(J190/N190,0))</f>
        <v/>
      </c>
      <c r="X190" s="11">
        <f>IF($A190="","",IFERROR(K190/L190,0))</f>
        <v/>
      </c>
      <c r="Y190" s="13">
        <f>IF($A190="","",IFERROR(C190-O190,0))</f>
        <v/>
      </c>
      <c r="Z190" s="13">
        <f>IF($A190="","",IFERROR(O190/N190,0))</f>
        <v/>
      </c>
      <c r="AA190" s="11">
        <f>IF($A190="","",IFERROR(M190/G190,0))</f>
        <v/>
      </c>
    </row>
    <row r="191" ht="22" customHeight="1">
      <c r="A191" s="9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1">
        <f>IF($A191="","",IFERROR(C191/B191,0))</f>
        <v/>
      </c>
      <c r="R191" s="12">
        <f>IF($A191="","",MAX(I191-H191,0))</f>
        <v/>
      </c>
      <c r="S191" s="11">
        <f>IF($A191="","",IFERROR(C191/B191,0))</f>
        <v/>
      </c>
      <c r="T191" s="11">
        <f>IF($A191="","",IFERROR(D191/E191,0))</f>
        <v/>
      </c>
      <c r="U191" s="11">
        <f>IF($A191="","",IFERROR(F191/G191,0))</f>
        <v/>
      </c>
      <c r="V191" s="11">
        <f>IF($A191="","",IFERROR(H191/I191,0))</f>
        <v/>
      </c>
      <c r="W191" s="13">
        <f>IF($A191="","",IFERROR(J191/N191,0))</f>
        <v/>
      </c>
      <c r="X191" s="11">
        <f>IF($A191="","",IFERROR(K191/L191,0))</f>
        <v/>
      </c>
      <c r="Y191" s="13">
        <f>IF($A191="","",IFERROR(C191-O191,0))</f>
        <v/>
      </c>
      <c r="Z191" s="13">
        <f>IF($A191="","",IFERROR(O191/N191,0))</f>
        <v/>
      </c>
      <c r="AA191" s="11">
        <f>IF($A191="","",IFERROR(M191/G191,0))</f>
        <v/>
      </c>
    </row>
    <row r="192" ht="22" customHeight="1">
      <c r="A192" s="9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1">
        <f>IF($A192="","",IFERROR(C192/B192,0))</f>
        <v/>
      </c>
      <c r="R192" s="12">
        <f>IF($A192="","",MAX(I192-H192,0))</f>
        <v/>
      </c>
      <c r="S192" s="11">
        <f>IF($A192="","",IFERROR(C192/B192,0))</f>
        <v/>
      </c>
      <c r="T192" s="11">
        <f>IF($A192="","",IFERROR(D192/E192,0))</f>
        <v/>
      </c>
      <c r="U192" s="11">
        <f>IF($A192="","",IFERROR(F192/G192,0))</f>
        <v/>
      </c>
      <c r="V192" s="11">
        <f>IF($A192="","",IFERROR(H192/I192,0))</f>
        <v/>
      </c>
      <c r="W192" s="13">
        <f>IF($A192="","",IFERROR(J192/N192,0))</f>
        <v/>
      </c>
      <c r="X192" s="11">
        <f>IF($A192="","",IFERROR(K192/L192,0))</f>
        <v/>
      </c>
      <c r="Y192" s="13">
        <f>IF($A192="","",IFERROR(C192-O192,0))</f>
        <v/>
      </c>
      <c r="Z192" s="13">
        <f>IF($A192="","",IFERROR(O192/N192,0))</f>
        <v/>
      </c>
      <c r="AA192" s="11">
        <f>IF($A192="","",IFERROR(M192/G192,0))</f>
        <v/>
      </c>
    </row>
    <row r="193" ht="22" customHeight="1">
      <c r="A193" s="9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1">
        <f>IF($A193="","",IFERROR(C193/B193,0))</f>
        <v/>
      </c>
      <c r="R193" s="12">
        <f>IF($A193="","",MAX(I193-H193,0))</f>
        <v/>
      </c>
      <c r="S193" s="11">
        <f>IF($A193="","",IFERROR(C193/B193,0))</f>
        <v/>
      </c>
      <c r="T193" s="11">
        <f>IF($A193="","",IFERROR(D193/E193,0))</f>
        <v/>
      </c>
      <c r="U193" s="11">
        <f>IF($A193="","",IFERROR(F193/G193,0))</f>
        <v/>
      </c>
      <c r="V193" s="11">
        <f>IF($A193="","",IFERROR(H193/I193,0))</f>
        <v/>
      </c>
      <c r="W193" s="13">
        <f>IF($A193="","",IFERROR(J193/N193,0))</f>
        <v/>
      </c>
      <c r="X193" s="11">
        <f>IF($A193="","",IFERROR(K193/L193,0))</f>
        <v/>
      </c>
      <c r="Y193" s="13">
        <f>IF($A193="","",IFERROR(C193-O193,0))</f>
        <v/>
      </c>
      <c r="Z193" s="13">
        <f>IF($A193="","",IFERROR(O193/N193,0))</f>
        <v/>
      </c>
      <c r="AA193" s="11">
        <f>IF($A193="","",IFERROR(M193/G193,0))</f>
        <v/>
      </c>
    </row>
    <row r="194" ht="22" customHeight="1">
      <c r="A194" s="9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1">
        <f>IF($A194="","",IFERROR(C194/B194,0))</f>
        <v/>
      </c>
      <c r="R194" s="12">
        <f>IF($A194="","",MAX(I194-H194,0))</f>
        <v/>
      </c>
      <c r="S194" s="11">
        <f>IF($A194="","",IFERROR(C194/B194,0))</f>
        <v/>
      </c>
      <c r="T194" s="11">
        <f>IF($A194="","",IFERROR(D194/E194,0))</f>
        <v/>
      </c>
      <c r="U194" s="11">
        <f>IF($A194="","",IFERROR(F194/G194,0))</f>
        <v/>
      </c>
      <c r="V194" s="11">
        <f>IF($A194="","",IFERROR(H194/I194,0))</f>
        <v/>
      </c>
      <c r="W194" s="13">
        <f>IF($A194="","",IFERROR(J194/N194,0))</f>
        <v/>
      </c>
      <c r="X194" s="11">
        <f>IF($A194="","",IFERROR(K194/L194,0))</f>
        <v/>
      </c>
      <c r="Y194" s="13">
        <f>IF($A194="","",IFERROR(C194-O194,0))</f>
        <v/>
      </c>
      <c r="Z194" s="13">
        <f>IF($A194="","",IFERROR(O194/N194,0))</f>
        <v/>
      </c>
      <c r="AA194" s="11">
        <f>IF($A194="","",IFERROR(M194/G194,0))</f>
        <v/>
      </c>
    </row>
    <row r="195" ht="22" customHeight="1">
      <c r="A195" s="9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1">
        <f>IF($A195="","",IFERROR(C195/B195,0))</f>
        <v/>
      </c>
      <c r="R195" s="12">
        <f>IF($A195="","",MAX(I195-H195,0))</f>
        <v/>
      </c>
      <c r="S195" s="11">
        <f>IF($A195="","",IFERROR(C195/B195,0))</f>
        <v/>
      </c>
      <c r="T195" s="11">
        <f>IF($A195="","",IFERROR(D195/E195,0))</f>
        <v/>
      </c>
      <c r="U195" s="11">
        <f>IF($A195="","",IFERROR(F195/G195,0))</f>
        <v/>
      </c>
      <c r="V195" s="11">
        <f>IF($A195="","",IFERROR(H195/I195,0))</f>
        <v/>
      </c>
      <c r="W195" s="13">
        <f>IF($A195="","",IFERROR(J195/N195,0))</f>
        <v/>
      </c>
      <c r="X195" s="11">
        <f>IF($A195="","",IFERROR(K195/L195,0))</f>
        <v/>
      </c>
      <c r="Y195" s="13">
        <f>IF($A195="","",IFERROR(C195-O195,0))</f>
        <v/>
      </c>
      <c r="Z195" s="13">
        <f>IF($A195="","",IFERROR(O195/N195,0))</f>
        <v/>
      </c>
      <c r="AA195" s="11">
        <f>IF($A195="","",IFERROR(M195/G195,0))</f>
        <v/>
      </c>
    </row>
    <row r="196" ht="22" customHeight="1">
      <c r="A196" s="9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1">
        <f>IF($A196="","",IFERROR(C196/B196,0))</f>
        <v/>
      </c>
      <c r="R196" s="12">
        <f>IF($A196="","",MAX(I196-H196,0))</f>
        <v/>
      </c>
      <c r="S196" s="11">
        <f>IF($A196="","",IFERROR(C196/B196,0))</f>
        <v/>
      </c>
      <c r="T196" s="11">
        <f>IF($A196="","",IFERROR(D196/E196,0))</f>
        <v/>
      </c>
      <c r="U196" s="11">
        <f>IF($A196="","",IFERROR(F196/G196,0))</f>
        <v/>
      </c>
      <c r="V196" s="11">
        <f>IF($A196="","",IFERROR(H196/I196,0))</f>
        <v/>
      </c>
      <c r="W196" s="13">
        <f>IF($A196="","",IFERROR(J196/N196,0))</f>
        <v/>
      </c>
      <c r="X196" s="11">
        <f>IF($A196="","",IFERROR(K196/L196,0))</f>
        <v/>
      </c>
      <c r="Y196" s="13">
        <f>IF($A196="","",IFERROR(C196-O196,0))</f>
        <v/>
      </c>
      <c r="Z196" s="13">
        <f>IF($A196="","",IFERROR(O196/N196,0))</f>
        <v/>
      </c>
      <c r="AA196" s="11">
        <f>IF($A196="","",IFERROR(M196/G196,0))</f>
        <v/>
      </c>
    </row>
    <row r="197" ht="22" customHeight="1">
      <c r="A197" s="9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1">
        <f>IF($A197="","",IFERROR(C197/B197,0))</f>
        <v/>
      </c>
      <c r="R197" s="12">
        <f>IF($A197="","",MAX(I197-H197,0))</f>
        <v/>
      </c>
      <c r="S197" s="11">
        <f>IF($A197="","",IFERROR(C197/B197,0))</f>
        <v/>
      </c>
      <c r="T197" s="11">
        <f>IF($A197="","",IFERROR(D197/E197,0))</f>
        <v/>
      </c>
      <c r="U197" s="11">
        <f>IF($A197="","",IFERROR(F197/G197,0))</f>
        <v/>
      </c>
      <c r="V197" s="11">
        <f>IF($A197="","",IFERROR(H197/I197,0))</f>
        <v/>
      </c>
      <c r="W197" s="13">
        <f>IF($A197="","",IFERROR(J197/N197,0))</f>
        <v/>
      </c>
      <c r="X197" s="11">
        <f>IF($A197="","",IFERROR(K197/L197,0))</f>
        <v/>
      </c>
      <c r="Y197" s="13">
        <f>IF($A197="","",IFERROR(C197-O197,0))</f>
        <v/>
      </c>
      <c r="Z197" s="13">
        <f>IF($A197="","",IFERROR(O197/N197,0))</f>
        <v/>
      </c>
      <c r="AA197" s="11">
        <f>IF($A197="","",IFERROR(M197/G197,0))</f>
        <v/>
      </c>
    </row>
    <row r="198" ht="22" customHeight="1">
      <c r="A198" s="9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1">
        <f>IF($A198="","",IFERROR(C198/B198,0))</f>
        <v/>
      </c>
      <c r="R198" s="12">
        <f>IF($A198="","",MAX(I198-H198,0))</f>
        <v/>
      </c>
      <c r="S198" s="11">
        <f>IF($A198="","",IFERROR(C198/B198,0))</f>
        <v/>
      </c>
      <c r="T198" s="11">
        <f>IF($A198="","",IFERROR(D198/E198,0))</f>
        <v/>
      </c>
      <c r="U198" s="11">
        <f>IF($A198="","",IFERROR(F198/G198,0))</f>
        <v/>
      </c>
      <c r="V198" s="11">
        <f>IF($A198="","",IFERROR(H198/I198,0))</f>
        <v/>
      </c>
      <c r="W198" s="13">
        <f>IF($A198="","",IFERROR(J198/N198,0))</f>
        <v/>
      </c>
      <c r="X198" s="11">
        <f>IF($A198="","",IFERROR(K198/L198,0))</f>
        <v/>
      </c>
      <c r="Y198" s="13">
        <f>IF($A198="","",IFERROR(C198-O198,0))</f>
        <v/>
      </c>
      <c r="Z198" s="13">
        <f>IF($A198="","",IFERROR(O198/N198,0))</f>
        <v/>
      </c>
      <c r="AA198" s="11">
        <f>IF($A198="","",IFERROR(M198/G198,0))</f>
        <v/>
      </c>
    </row>
    <row r="199" ht="22" customHeight="1">
      <c r="A199" s="9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1">
        <f>IF($A199="","",IFERROR(C199/B199,0))</f>
        <v/>
      </c>
      <c r="R199" s="12">
        <f>IF($A199="","",MAX(I199-H199,0))</f>
        <v/>
      </c>
      <c r="S199" s="11">
        <f>IF($A199="","",IFERROR(C199/B199,0))</f>
        <v/>
      </c>
      <c r="T199" s="11">
        <f>IF($A199="","",IFERROR(D199/E199,0))</f>
        <v/>
      </c>
      <c r="U199" s="11">
        <f>IF($A199="","",IFERROR(F199/G199,0))</f>
        <v/>
      </c>
      <c r="V199" s="11">
        <f>IF($A199="","",IFERROR(H199/I199,0))</f>
        <v/>
      </c>
      <c r="W199" s="13">
        <f>IF($A199="","",IFERROR(J199/N199,0))</f>
        <v/>
      </c>
      <c r="X199" s="11">
        <f>IF($A199="","",IFERROR(K199/L199,0))</f>
        <v/>
      </c>
      <c r="Y199" s="13">
        <f>IF($A199="","",IFERROR(C199-O199,0))</f>
        <v/>
      </c>
      <c r="Z199" s="13">
        <f>IF($A199="","",IFERROR(O199/N199,0))</f>
        <v/>
      </c>
      <c r="AA199" s="11">
        <f>IF($A199="","",IFERROR(M199/G199,0))</f>
        <v/>
      </c>
    </row>
    <row r="200" ht="22" customHeight="1">
      <c r="A200" s="9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1">
        <f>IF($A200="","",IFERROR(C200/B200,0))</f>
        <v/>
      </c>
      <c r="R200" s="12">
        <f>IF($A200="","",MAX(I200-H200,0))</f>
        <v/>
      </c>
      <c r="S200" s="11">
        <f>IF($A200="","",IFERROR(C200/B200,0))</f>
        <v/>
      </c>
      <c r="T200" s="11">
        <f>IF($A200="","",IFERROR(D200/E200,0))</f>
        <v/>
      </c>
      <c r="U200" s="11">
        <f>IF($A200="","",IFERROR(F200/G200,0))</f>
        <v/>
      </c>
      <c r="V200" s="11">
        <f>IF($A200="","",IFERROR(H200/I200,0))</f>
        <v/>
      </c>
      <c r="W200" s="13">
        <f>IF($A200="","",IFERROR(J200/N200,0))</f>
        <v/>
      </c>
      <c r="X200" s="11">
        <f>IF($A200="","",IFERROR(K200/L200,0))</f>
        <v/>
      </c>
      <c r="Y200" s="13">
        <f>IF($A200="","",IFERROR(C200-O200,0))</f>
        <v/>
      </c>
      <c r="Z200" s="13">
        <f>IF($A200="","",IFERROR(O200/N200,0))</f>
        <v/>
      </c>
      <c r="AA200" s="11">
        <f>IF($A200="","",IFERROR(M200/G200,0))</f>
        <v/>
      </c>
    </row>
  </sheetData>
  <autoFilter ref="A1:AA200"/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D1D5DB"/>
    <outlinePr summaryBelow="1" summaryRight="1"/>
    <pageSetUpPr/>
  </sheetPr>
  <dimension ref="A1:P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21" customWidth="1" min="7" max="7"/>
    <col width="15" customWidth="1" min="8" max="8"/>
    <col width="32" customWidth="1" min="9" max="9"/>
    <col width="32" customWidth="1" min="10" max="10"/>
    <col width="32" customWidth="1" min="11" max="11"/>
    <col width="32" customWidth="1" min="12" max="12"/>
    <col width="32" customWidth="1" min="13" max="13"/>
    <col width="32" customWidth="1" min="14" max="14"/>
    <col width="32" customWidth="1" min="15" max="15"/>
    <col width="32" customWidth="1" min="16" max="16"/>
  </cols>
  <sheetData>
    <row r="1" ht="30" customHeight="1">
      <c r="A1" s="7" t="inlineStr">
        <is>
          <t>week_start</t>
        </is>
      </c>
      <c r="B1" s="7" t="inlineStr">
        <is>
          <t>motos_actives</t>
        </is>
      </c>
      <c r="C1" s="7" t="inlineStr">
        <is>
          <t>total_motos</t>
        </is>
      </c>
      <c r="D1" s="7" t="inlineStr">
        <is>
          <t>jours_actifs</t>
        </is>
      </c>
      <c r="E1" s="7" t="inlineStr">
        <is>
          <t>jours_totaux</t>
        </is>
      </c>
      <c r="F1" s="7" t="inlineStr">
        <is>
          <t>courses</t>
        </is>
      </c>
      <c r="G1" s="7" t="inlineStr">
        <is>
          <t>jours_sans_activite</t>
        </is>
      </c>
      <c r="H1" s="7" t="inlineStr">
        <is>
          <t>motos_panne</t>
        </is>
      </c>
      <c r="I1" s="8" t="inlineStr">
        <is>
          <t>motos_inactives_jour</t>
        </is>
      </c>
      <c r="J1" s="8" t="inlineStr">
        <is>
          <t>taux_motos_actives</t>
        </is>
      </c>
      <c r="K1" s="8" t="inlineStr">
        <is>
          <t>taux_utilisation</t>
        </is>
      </c>
      <c r="L1" s="8" t="inlineStr">
        <is>
          <t>moyenne_courses</t>
        </is>
      </c>
      <c r="M1" s="8" t="inlineStr">
        <is>
          <t>temps_inactivite</t>
        </is>
      </c>
      <c r="N1" s="8" t="inlineStr">
        <is>
          <t>taux_pannes</t>
        </is>
      </c>
      <c r="O1" s="8" t="inlineStr">
        <is>
          <t>taux_moyen_activite</t>
        </is>
      </c>
      <c r="P1" s="8" t="inlineStr">
        <is>
          <t>performance_reseau</t>
        </is>
      </c>
    </row>
    <row r="2" ht="22" customHeight="1">
      <c r="A2" s="9" t="n">
        <v>46027</v>
      </c>
      <c r="B2" s="10" t="n">
        <v>205</v>
      </c>
      <c r="C2" s="10" t="n">
        <v>220</v>
      </c>
      <c r="D2" s="10" t="n">
        <v>1007</v>
      </c>
      <c r="E2" s="10" t="n">
        <v>1540</v>
      </c>
      <c r="F2" s="10" t="n">
        <v>7111</v>
      </c>
      <c r="G2" s="10" t="n">
        <v>533</v>
      </c>
      <c r="H2" s="10" t="n">
        <v>7</v>
      </c>
      <c r="I2" s="12">
        <f>IF($A2="","",MAX(C2-B2,0))</f>
        <v/>
      </c>
      <c r="J2" s="11">
        <f>IF($A2="","",IFERROR(B2/C2,0))</f>
        <v/>
      </c>
      <c r="K2" s="11">
        <f>IF($A2="","",IFERROR(D2/E2,0))</f>
        <v/>
      </c>
      <c r="L2" s="12">
        <f>IF($A2="","",IFERROR(F2/7,0))</f>
        <v/>
      </c>
      <c r="M2" s="12">
        <f>IF($A2="","",ROUND(IFERROR(G2/7,0),0))</f>
        <v/>
      </c>
      <c r="N2" s="11">
        <f>IF($A2="","",IFERROR(H2/C2,0))</f>
        <v/>
      </c>
      <c r="O2" s="11">
        <f>IF($A2="","",IFERROR(B2/C2,0))</f>
        <v/>
      </c>
      <c r="P2" s="11">
        <f>IF($A2="","",MAX(0,AVERAGE(J2,K2,1-N2)))</f>
        <v/>
      </c>
    </row>
    <row r="3" ht="22" customHeight="1">
      <c r="A3" s="9" t="n">
        <v>46034</v>
      </c>
      <c r="B3" s="10" t="n">
        <v>215</v>
      </c>
      <c r="C3" s="10" t="n">
        <v>220</v>
      </c>
      <c r="D3" s="10" t="n">
        <v>1031</v>
      </c>
      <c r="E3" s="10" t="n">
        <v>1540</v>
      </c>
      <c r="F3" s="10" t="n">
        <v>7325</v>
      </c>
      <c r="G3" s="10" t="n">
        <v>509</v>
      </c>
      <c r="H3" s="10" t="n">
        <v>7</v>
      </c>
      <c r="I3" s="12">
        <f>IF($A3="","",MAX(C3-B3,0))</f>
        <v/>
      </c>
      <c r="J3" s="11">
        <f>IF($A3="","",IFERROR(B3/C3,0))</f>
        <v/>
      </c>
      <c r="K3" s="11">
        <f>IF($A3="","",IFERROR(D3/E3,0))</f>
        <v/>
      </c>
      <c r="L3" s="12">
        <f>IF($A3="","",IFERROR(F3/7,0))</f>
        <v/>
      </c>
      <c r="M3" s="12">
        <f>IF($A3="","",ROUND(IFERROR(G3/7,0),0))</f>
        <v/>
      </c>
      <c r="N3" s="11">
        <f>IF($A3="","",IFERROR(H3/C3,0))</f>
        <v/>
      </c>
      <c r="O3" s="11">
        <f>IF($A3="","",IFERROR(B3/C3,0))</f>
        <v/>
      </c>
      <c r="P3" s="11">
        <f>IF($A3="","",MAX(0,AVERAGE(J3,K3,1-N3)))</f>
        <v/>
      </c>
    </row>
    <row r="4" ht="22" customHeight="1">
      <c r="A4" s="9" t="n">
        <v>46041</v>
      </c>
      <c r="B4" s="10" t="n">
        <v>206</v>
      </c>
      <c r="C4" s="10" t="n">
        <v>220</v>
      </c>
      <c r="D4" s="10" t="n">
        <v>999</v>
      </c>
      <c r="E4" s="10" t="n">
        <v>1540</v>
      </c>
      <c r="F4" s="10" t="n">
        <v>9634</v>
      </c>
      <c r="G4" s="10" t="n">
        <v>541</v>
      </c>
      <c r="H4" s="10" t="n">
        <v>6</v>
      </c>
      <c r="I4" s="12">
        <f>IF($A4="","",MAX(C4-B4,0))</f>
        <v/>
      </c>
      <c r="J4" s="11">
        <f>IF($A4="","",IFERROR(B4/C4,0))</f>
        <v/>
      </c>
      <c r="K4" s="11">
        <f>IF($A4="","",IFERROR(D4/E4,0))</f>
        <v/>
      </c>
      <c r="L4" s="12">
        <f>IF($A4="","",IFERROR(F4/7,0))</f>
        <v/>
      </c>
      <c r="M4" s="12">
        <f>IF($A4="","",ROUND(IFERROR(G4/7,0),0))</f>
        <v/>
      </c>
      <c r="N4" s="11">
        <f>IF($A4="","",IFERROR(H4/C4,0))</f>
        <v/>
      </c>
      <c r="O4" s="11">
        <f>IF($A4="","",IFERROR(B4/C4,0))</f>
        <v/>
      </c>
      <c r="P4" s="11">
        <f>IF($A4="","",MAX(0,AVERAGE(J4,K4,1-N4)))</f>
        <v/>
      </c>
    </row>
    <row r="5" ht="22" customHeight="1">
      <c r="A5" s="9" t="n">
        <v>46048</v>
      </c>
      <c r="B5" s="10" t="n">
        <v>212</v>
      </c>
      <c r="C5" s="10" t="n">
        <v>220</v>
      </c>
      <c r="D5" s="10" t="n">
        <v>1066</v>
      </c>
      <c r="E5" s="10" t="n">
        <v>1540</v>
      </c>
      <c r="F5" s="10" t="n">
        <v>7751</v>
      </c>
      <c r="G5" s="10" t="n">
        <v>474</v>
      </c>
      <c r="H5" s="10" t="n">
        <v>7</v>
      </c>
      <c r="I5" s="12">
        <f>IF($A5="","",MAX(C5-B5,0))</f>
        <v/>
      </c>
      <c r="J5" s="11">
        <f>IF($A5="","",IFERROR(B5/C5,0))</f>
        <v/>
      </c>
      <c r="K5" s="11">
        <f>IF($A5="","",IFERROR(D5/E5,0))</f>
        <v/>
      </c>
      <c r="L5" s="12">
        <f>IF($A5="","",IFERROR(F5/7,0))</f>
        <v/>
      </c>
      <c r="M5" s="12">
        <f>IF($A5="","",ROUND(IFERROR(G5/7,0),0))</f>
        <v/>
      </c>
      <c r="N5" s="11">
        <f>IF($A5="","",IFERROR(H5/C5,0))</f>
        <v/>
      </c>
      <c r="O5" s="11">
        <f>IF($A5="","",IFERROR(B5/C5,0))</f>
        <v/>
      </c>
      <c r="P5" s="11">
        <f>IF($A5="","",MAX(0,AVERAGE(J5,K5,1-N5)))</f>
        <v/>
      </c>
    </row>
    <row r="6" ht="22" customHeight="1">
      <c r="A6" s="9" t="n">
        <v>46055</v>
      </c>
      <c r="B6" s="10" t="n">
        <v>210</v>
      </c>
      <c r="C6" s="10" t="n">
        <v>220</v>
      </c>
      <c r="D6" s="10" t="n">
        <v>986</v>
      </c>
      <c r="E6" s="10" t="n">
        <v>1540</v>
      </c>
      <c r="F6" s="10" t="n">
        <v>7665</v>
      </c>
      <c r="G6" s="10" t="n">
        <v>554</v>
      </c>
      <c r="H6" s="10" t="n">
        <v>11</v>
      </c>
      <c r="I6" s="12">
        <f>IF($A6="","",MAX(C6-B6,0))</f>
        <v/>
      </c>
      <c r="J6" s="11">
        <f>IF($A6="","",IFERROR(B6/C6,0))</f>
        <v/>
      </c>
      <c r="K6" s="11">
        <f>IF($A6="","",IFERROR(D6/E6,0))</f>
        <v/>
      </c>
      <c r="L6" s="12">
        <f>IF($A6="","",IFERROR(F6/7,0))</f>
        <v/>
      </c>
      <c r="M6" s="12">
        <f>IF($A6="","",ROUND(IFERROR(G6/7,0),0))</f>
        <v/>
      </c>
      <c r="N6" s="11">
        <f>IF($A6="","",IFERROR(H6/C6,0))</f>
        <v/>
      </c>
      <c r="O6" s="11">
        <f>IF($A6="","",IFERROR(B6/C6,0))</f>
        <v/>
      </c>
      <c r="P6" s="11">
        <f>IF($A6="","",MAX(0,AVERAGE(J6,K6,1-N6)))</f>
        <v/>
      </c>
    </row>
    <row r="7" ht="22" customHeight="1">
      <c r="A7" s="9" t="n">
        <v>46062</v>
      </c>
      <c r="B7" s="10" t="n">
        <v>218</v>
      </c>
      <c r="C7" s="10" t="n">
        <v>220</v>
      </c>
      <c r="D7" s="10" t="n">
        <v>1039</v>
      </c>
      <c r="E7" s="10" t="n">
        <v>1540</v>
      </c>
      <c r="F7" s="10" t="n">
        <v>7253</v>
      </c>
      <c r="G7" s="10" t="n">
        <v>501</v>
      </c>
      <c r="H7" s="10" t="n">
        <v>4</v>
      </c>
      <c r="I7" s="12">
        <f>IF($A7="","",MAX(C7-B7,0))</f>
        <v/>
      </c>
      <c r="J7" s="11">
        <f>IF($A7="","",IFERROR(B7/C7,0))</f>
        <v/>
      </c>
      <c r="K7" s="11">
        <f>IF($A7="","",IFERROR(D7/E7,0))</f>
        <v/>
      </c>
      <c r="L7" s="12">
        <f>IF($A7="","",IFERROR(F7/7,0))</f>
        <v/>
      </c>
      <c r="M7" s="12">
        <f>IF($A7="","",ROUND(IFERROR(G7/7,0),0))</f>
        <v/>
      </c>
      <c r="N7" s="11">
        <f>IF($A7="","",IFERROR(H7/C7,0))</f>
        <v/>
      </c>
      <c r="O7" s="11">
        <f>IF($A7="","",IFERROR(B7/C7,0))</f>
        <v/>
      </c>
      <c r="P7" s="11">
        <f>IF($A7="","",MAX(0,AVERAGE(J7,K7,1-N7)))</f>
        <v/>
      </c>
    </row>
    <row r="8" ht="22" customHeight="1">
      <c r="A8" s="9" t="n">
        <v>46069</v>
      </c>
      <c r="B8" s="10" t="n">
        <v>212</v>
      </c>
      <c r="C8" s="10" t="n">
        <v>220</v>
      </c>
      <c r="D8" s="10" t="n">
        <v>957</v>
      </c>
      <c r="E8" s="10" t="n">
        <v>1540</v>
      </c>
      <c r="F8" s="10" t="n">
        <v>7144</v>
      </c>
      <c r="G8" s="10" t="n">
        <v>583</v>
      </c>
      <c r="H8" s="10" t="n">
        <v>5</v>
      </c>
      <c r="I8" s="12">
        <f>IF($A8="","",MAX(C8-B8,0))</f>
        <v/>
      </c>
      <c r="J8" s="11">
        <f>IF($A8="","",IFERROR(B8/C8,0))</f>
        <v/>
      </c>
      <c r="K8" s="11">
        <f>IF($A8="","",IFERROR(D8/E8,0))</f>
        <v/>
      </c>
      <c r="L8" s="12">
        <f>IF($A8="","",IFERROR(F8/7,0))</f>
        <v/>
      </c>
      <c r="M8" s="12">
        <f>IF($A8="","",ROUND(IFERROR(G8/7,0),0))</f>
        <v/>
      </c>
      <c r="N8" s="11">
        <f>IF($A8="","",IFERROR(H8/C8,0))</f>
        <v/>
      </c>
      <c r="O8" s="11">
        <f>IF($A8="","",IFERROR(B8/C8,0))</f>
        <v/>
      </c>
      <c r="P8" s="11">
        <f>IF($A8="","",MAX(0,AVERAGE(J8,K8,1-N8)))</f>
        <v/>
      </c>
    </row>
    <row r="9" ht="22" customHeight="1">
      <c r="A9" s="9" t="n">
        <v>46076</v>
      </c>
      <c r="B9" s="10" t="n">
        <v>208</v>
      </c>
      <c r="C9" s="10" t="n">
        <v>220</v>
      </c>
      <c r="D9" s="10" t="n">
        <v>1102</v>
      </c>
      <c r="E9" s="10" t="n">
        <v>1540</v>
      </c>
      <c r="F9" s="10" t="n">
        <v>9009</v>
      </c>
      <c r="G9" s="10" t="n">
        <v>438</v>
      </c>
      <c r="H9" s="10" t="n">
        <v>9</v>
      </c>
      <c r="I9" s="12">
        <f>IF($A9="","",MAX(C9-B9,0))</f>
        <v/>
      </c>
      <c r="J9" s="11">
        <f>IF($A9="","",IFERROR(B9/C9,0))</f>
        <v/>
      </c>
      <c r="K9" s="11">
        <f>IF($A9="","",IFERROR(D9/E9,0))</f>
        <v/>
      </c>
      <c r="L9" s="12">
        <f>IF($A9="","",IFERROR(F9/7,0))</f>
        <v/>
      </c>
      <c r="M9" s="12">
        <f>IF($A9="","",ROUND(IFERROR(G9/7,0),0))</f>
        <v/>
      </c>
      <c r="N9" s="11">
        <f>IF($A9="","",IFERROR(H9/C9,0))</f>
        <v/>
      </c>
      <c r="O9" s="11">
        <f>IF($A9="","",IFERROR(B9/C9,0))</f>
        <v/>
      </c>
      <c r="P9" s="11">
        <f>IF($A9="","",MAX(0,AVERAGE(J9,K9,1-N9)))</f>
        <v/>
      </c>
    </row>
    <row r="10" ht="22" customHeight="1">
      <c r="A10" s="9" t="n">
        <v>46083</v>
      </c>
      <c r="B10" s="10" t="n">
        <v>213</v>
      </c>
      <c r="C10" s="10" t="n">
        <v>220</v>
      </c>
      <c r="D10" s="10" t="n">
        <v>1065</v>
      </c>
      <c r="E10" s="10" t="n">
        <v>1540</v>
      </c>
      <c r="F10" s="10" t="n">
        <v>10168</v>
      </c>
      <c r="G10" s="10" t="n">
        <v>475</v>
      </c>
      <c r="H10" s="10" t="n">
        <v>8</v>
      </c>
      <c r="I10" s="12">
        <f>IF($A10="","",MAX(C10-B10,0))</f>
        <v/>
      </c>
      <c r="J10" s="11">
        <f>IF($A10="","",IFERROR(B10/C10,0))</f>
        <v/>
      </c>
      <c r="K10" s="11">
        <f>IF($A10="","",IFERROR(D10/E10,0))</f>
        <v/>
      </c>
      <c r="L10" s="12">
        <f>IF($A10="","",IFERROR(F10/7,0))</f>
        <v/>
      </c>
      <c r="M10" s="12">
        <f>IF($A10="","",ROUND(IFERROR(G10/7,0),0))</f>
        <v/>
      </c>
      <c r="N10" s="11">
        <f>IF($A10="","",IFERROR(H10/C10,0))</f>
        <v/>
      </c>
      <c r="O10" s="11">
        <f>IF($A10="","",IFERROR(B10/C10,0))</f>
        <v/>
      </c>
      <c r="P10" s="11">
        <f>IF($A10="","",MAX(0,AVERAGE(J10,K10,1-N10)))</f>
        <v/>
      </c>
    </row>
    <row r="11" ht="22" customHeight="1">
      <c r="A11" s="9" t="n">
        <v>46090</v>
      </c>
      <c r="B11" s="10" t="n">
        <v>213</v>
      </c>
      <c r="C11" s="10" t="n">
        <v>220</v>
      </c>
      <c r="D11" s="10" t="n">
        <v>1052</v>
      </c>
      <c r="E11" s="10" t="n">
        <v>1540</v>
      </c>
      <c r="F11" s="10" t="n">
        <v>8680</v>
      </c>
      <c r="G11" s="10" t="n">
        <v>488</v>
      </c>
      <c r="H11" s="10" t="n">
        <v>4</v>
      </c>
      <c r="I11" s="12">
        <f>IF($A11="","",MAX(C11-B11,0))</f>
        <v/>
      </c>
      <c r="J11" s="11">
        <f>IF($A11="","",IFERROR(B11/C11,0))</f>
        <v/>
      </c>
      <c r="K11" s="11">
        <f>IF($A11="","",IFERROR(D11/E11,0))</f>
        <v/>
      </c>
      <c r="L11" s="12">
        <f>IF($A11="","",IFERROR(F11/7,0))</f>
        <v/>
      </c>
      <c r="M11" s="12">
        <f>IF($A11="","",ROUND(IFERROR(G11/7,0),0))</f>
        <v/>
      </c>
      <c r="N11" s="11">
        <f>IF($A11="","",IFERROR(H11/C11,0))</f>
        <v/>
      </c>
      <c r="O11" s="11">
        <f>IF($A11="","",IFERROR(B11/C11,0))</f>
        <v/>
      </c>
      <c r="P11" s="11">
        <f>IF($A11="","",MAX(0,AVERAGE(J11,K11,1-N11)))</f>
        <v/>
      </c>
    </row>
    <row r="12" ht="22" customHeight="1">
      <c r="A12" s="9" t="n">
        <v>46097</v>
      </c>
      <c r="B12" s="10" t="n">
        <v>206</v>
      </c>
      <c r="C12" s="10" t="n">
        <v>220</v>
      </c>
      <c r="D12" s="10" t="n">
        <v>1157</v>
      </c>
      <c r="E12" s="10" t="n">
        <v>1540</v>
      </c>
      <c r="F12" s="10" t="n">
        <v>7764</v>
      </c>
      <c r="G12" s="10" t="n">
        <v>383</v>
      </c>
      <c r="H12" s="10" t="n">
        <v>15</v>
      </c>
      <c r="I12" s="12">
        <f>IF($A12="","",MAX(C12-B12,0))</f>
        <v/>
      </c>
      <c r="J12" s="11">
        <f>IF($A12="","",IFERROR(B12/C12,0))</f>
        <v/>
      </c>
      <c r="K12" s="11">
        <f>IF($A12="","",IFERROR(D12/E12,0))</f>
        <v/>
      </c>
      <c r="L12" s="12">
        <f>IF($A12="","",IFERROR(F12/7,0))</f>
        <v/>
      </c>
      <c r="M12" s="12">
        <f>IF($A12="","",ROUND(IFERROR(G12/7,0),0))</f>
        <v/>
      </c>
      <c r="N12" s="11">
        <f>IF($A12="","",IFERROR(H12/C12,0))</f>
        <v/>
      </c>
      <c r="O12" s="11">
        <f>IF($A12="","",IFERROR(B12/C12,0))</f>
        <v/>
      </c>
      <c r="P12" s="11">
        <f>IF($A12="","",MAX(0,AVERAGE(J12,K12,1-N12)))</f>
        <v/>
      </c>
    </row>
    <row r="13" ht="22" customHeight="1">
      <c r="A13" s="9" t="n">
        <v>46104</v>
      </c>
      <c r="B13" s="10" t="n">
        <v>206</v>
      </c>
      <c r="C13" s="10" t="n">
        <v>220</v>
      </c>
      <c r="D13" s="10" t="n">
        <v>1008</v>
      </c>
      <c r="E13" s="10" t="n">
        <v>1540</v>
      </c>
      <c r="F13" s="10" t="n">
        <v>10384</v>
      </c>
      <c r="G13" s="10" t="n">
        <v>532</v>
      </c>
      <c r="H13" s="10" t="n">
        <v>9</v>
      </c>
      <c r="I13" s="12">
        <f>IF($A13="","",MAX(C13-B13,0))</f>
        <v/>
      </c>
      <c r="J13" s="11">
        <f>IF($A13="","",IFERROR(B13/C13,0))</f>
        <v/>
      </c>
      <c r="K13" s="11">
        <f>IF($A13="","",IFERROR(D13/E13,0))</f>
        <v/>
      </c>
      <c r="L13" s="12">
        <f>IF($A13="","",IFERROR(F13/7,0))</f>
        <v/>
      </c>
      <c r="M13" s="12">
        <f>IF($A13="","",ROUND(IFERROR(G13/7,0),0))</f>
        <v/>
      </c>
      <c r="N13" s="11">
        <f>IF($A13="","",IFERROR(H13/C13,0))</f>
        <v/>
      </c>
      <c r="O13" s="11">
        <f>IF($A13="","",IFERROR(B13/C13,0))</f>
        <v/>
      </c>
      <c r="P13" s="11">
        <f>IF($A13="","",MAX(0,AVERAGE(J13,K13,1-N13)))</f>
        <v/>
      </c>
    </row>
    <row r="14" ht="22" customHeight="1">
      <c r="A14" s="9" t="n">
        <v>46111</v>
      </c>
      <c r="B14" s="10" t="n">
        <v>207</v>
      </c>
      <c r="C14" s="10" t="n">
        <v>220</v>
      </c>
      <c r="D14" s="10" t="n">
        <v>1033</v>
      </c>
      <c r="E14" s="10" t="n">
        <v>1540</v>
      </c>
      <c r="F14" s="10" t="n">
        <v>7841</v>
      </c>
      <c r="G14" s="10" t="n">
        <v>507</v>
      </c>
      <c r="H14" s="10" t="n">
        <v>9</v>
      </c>
      <c r="I14" s="12">
        <f>IF($A14="","",MAX(C14-B14,0))</f>
        <v/>
      </c>
      <c r="J14" s="11">
        <f>IF($A14="","",IFERROR(B14/C14,0))</f>
        <v/>
      </c>
      <c r="K14" s="11">
        <f>IF($A14="","",IFERROR(D14/E14,0))</f>
        <v/>
      </c>
      <c r="L14" s="12">
        <f>IF($A14="","",IFERROR(F14/7,0))</f>
        <v/>
      </c>
      <c r="M14" s="12">
        <f>IF($A14="","",ROUND(IFERROR(G14/7,0),0))</f>
        <v/>
      </c>
      <c r="N14" s="11">
        <f>IF($A14="","",IFERROR(H14/C14,0))</f>
        <v/>
      </c>
      <c r="O14" s="11">
        <f>IF($A14="","",IFERROR(B14/C14,0))</f>
        <v/>
      </c>
      <c r="P14" s="11">
        <f>IF($A14="","",MAX(0,AVERAGE(J14,K14,1-N14)))</f>
        <v/>
      </c>
    </row>
    <row r="15" ht="22" customHeight="1">
      <c r="A15" s="9" t="n">
        <v>46118</v>
      </c>
      <c r="B15" s="10" t="n">
        <v>210</v>
      </c>
      <c r="C15" s="10" t="n">
        <v>220</v>
      </c>
      <c r="D15" s="10" t="n">
        <v>1072</v>
      </c>
      <c r="E15" s="10" t="n">
        <v>1540</v>
      </c>
      <c r="F15" s="10" t="n">
        <v>8351</v>
      </c>
      <c r="G15" s="10" t="n">
        <v>468</v>
      </c>
      <c r="H15" s="10" t="n">
        <v>4</v>
      </c>
      <c r="I15" s="12">
        <f>IF($A15="","",MAX(C15-B15,0))</f>
        <v/>
      </c>
      <c r="J15" s="11">
        <f>IF($A15="","",IFERROR(B15/C15,0))</f>
        <v/>
      </c>
      <c r="K15" s="11">
        <f>IF($A15="","",IFERROR(D15/E15,0))</f>
        <v/>
      </c>
      <c r="L15" s="12">
        <f>IF($A15="","",IFERROR(F15/7,0))</f>
        <v/>
      </c>
      <c r="M15" s="12">
        <f>IF($A15="","",ROUND(IFERROR(G15/7,0),0))</f>
        <v/>
      </c>
      <c r="N15" s="11">
        <f>IF($A15="","",IFERROR(H15/C15,0))</f>
        <v/>
      </c>
      <c r="O15" s="11">
        <f>IF($A15="","",IFERROR(B15/C15,0))</f>
        <v/>
      </c>
      <c r="P15" s="11">
        <f>IF($A15="","",MAX(0,AVERAGE(J15,K15,1-N15)))</f>
        <v/>
      </c>
    </row>
    <row r="16" ht="22" customHeight="1">
      <c r="A16" s="9" t="n">
        <v>46125</v>
      </c>
      <c r="B16" s="10" t="n">
        <v>204</v>
      </c>
      <c r="C16" s="10" t="n">
        <v>220</v>
      </c>
      <c r="D16" s="10" t="n">
        <v>1082</v>
      </c>
      <c r="E16" s="10" t="n">
        <v>1540</v>
      </c>
      <c r="F16" s="10" t="n">
        <v>6200</v>
      </c>
      <c r="G16" s="10" t="n">
        <v>458</v>
      </c>
      <c r="H16" s="10" t="n">
        <v>10</v>
      </c>
      <c r="I16" s="12">
        <f>IF($A16="","",MAX(C16-B16,0))</f>
        <v/>
      </c>
      <c r="J16" s="11">
        <f>IF($A16="","",IFERROR(B16/C16,0))</f>
        <v/>
      </c>
      <c r="K16" s="11">
        <f>IF($A16="","",IFERROR(D16/E16,0))</f>
        <v/>
      </c>
      <c r="L16" s="12">
        <f>IF($A16="","",IFERROR(F16/7,0))</f>
        <v/>
      </c>
      <c r="M16" s="12">
        <f>IF($A16="","",ROUND(IFERROR(G16/7,0),0))</f>
        <v/>
      </c>
      <c r="N16" s="11">
        <f>IF($A16="","",IFERROR(H16/C16,0))</f>
        <v/>
      </c>
      <c r="O16" s="11">
        <f>IF($A16="","",IFERROR(B16/C16,0))</f>
        <v/>
      </c>
      <c r="P16" s="11">
        <f>IF($A16="","",MAX(0,AVERAGE(J16,K16,1-N16)))</f>
        <v/>
      </c>
    </row>
    <row r="17" ht="22" customHeight="1">
      <c r="A17" s="9" t="n">
        <v>46132</v>
      </c>
      <c r="B17" s="10" t="n">
        <v>198</v>
      </c>
      <c r="C17" s="10" t="n">
        <v>220</v>
      </c>
      <c r="D17" s="10" t="n">
        <v>983</v>
      </c>
      <c r="E17" s="10" t="n">
        <v>1540</v>
      </c>
      <c r="F17" s="10" t="n">
        <v>8777</v>
      </c>
      <c r="G17" s="10" t="n">
        <v>557</v>
      </c>
      <c r="H17" s="10" t="n">
        <v>5</v>
      </c>
      <c r="I17" s="12">
        <f>IF($A17="","",MAX(C17-B17,0))</f>
        <v/>
      </c>
      <c r="J17" s="11">
        <f>IF($A17="","",IFERROR(B17/C17,0))</f>
        <v/>
      </c>
      <c r="K17" s="11">
        <f>IF($A17="","",IFERROR(D17/E17,0))</f>
        <v/>
      </c>
      <c r="L17" s="12">
        <f>IF($A17="","",IFERROR(F17/7,0))</f>
        <v/>
      </c>
      <c r="M17" s="12">
        <f>IF($A17="","",ROUND(IFERROR(G17/7,0),0))</f>
        <v/>
      </c>
      <c r="N17" s="11">
        <f>IF($A17="","",IFERROR(H17/C17,0))</f>
        <v/>
      </c>
      <c r="O17" s="11">
        <f>IF($A17="","",IFERROR(B17/C17,0))</f>
        <v/>
      </c>
      <c r="P17" s="11">
        <f>IF($A17="","",MAX(0,AVERAGE(J17,K17,1-N17)))</f>
        <v/>
      </c>
    </row>
    <row r="18" ht="22" customHeight="1">
      <c r="A18" s="9" t="n">
        <v>46139</v>
      </c>
      <c r="B18" s="10" t="n">
        <v>190</v>
      </c>
      <c r="C18" s="10" t="n">
        <v>220</v>
      </c>
      <c r="D18" s="10" t="n">
        <v>913</v>
      </c>
      <c r="E18" s="10" t="n">
        <v>1540</v>
      </c>
      <c r="F18" s="10" t="n">
        <v>7765</v>
      </c>
      <c r="G18" s="10" t="n">
        <v>627</v>
      </c>
      <c r="H18" s="10" t="n">
        <v>8</v>
      </c>
      <c r="I18" s="12">
        <f>IF($A18="","",MAX(C18-B18,0))</f>
        <v/>
      </c>
      <c r="J18" s="11">
        <f>IF($A18="","",IFERROR(B18/C18,0))</f>
        <v/>
      </c>
      <c r="K18" s="11">
        <f>IF($A18="","",IFERROR(D18/E18,0))</f>
        <v/>
      </c>
      <c r="L18" s="12">
        <f>IF($A18="","",IFERROR(F18/7,0))</f>
        <v/>
      </c>
      <c r="M18" s="12">
        <f>IF($A18="","",ROUND(IFERROR(G18/7,0),0))</f>
        <v/>
      </c>
      <c r="N18" s="11">
        <f>IF($A18="","",IFERROR(H18/C18,0))</f>
        <v/>
      </c>
      <c r="O18" s="11">
        <f>IF($A18="","",IFERROR(B18/C18,0))</f>
        <v/>
      </c>
      <c r="P18" s="11">
        <f>IF($A18="","",MAX(0,AVERAGE(J18,K18,1-N18)))</f>
        <v/>
      </c>
    </row>
    <row r="19" ht="22" customHeight="1">
      <c r="A19" s="9" t="n">
        <v>46146</v>
      </c>
      <c r="B19" s="10" t="n">
        <v>196</v>
      </c>
      <c r="C19" s="10" t="n">
        <v>220</v>
      </c>
      <c r="D19" s="10" t="n">
        <v>1015</v>
      </c>
      <c r="E19" s="10" t="n">
        <v>1540</v>
      </c>
      <c r="F19" s="10" t="n">
        <v>9602</v>
      </c>
      <c r="G19" s="10" t="n">
        <v>525</v>
      </c>
      <c r="H19" s="10" t="n">
        <v>9</v>
      </c>
      <c r="I19" s="12">
        <f>IF($A19="","",MAX(C19-B19,0))</f>
        <v/>
      </c>
      <c r="J19" s="11">
        <f>IF($A19="","",IFERROR(B19/C19,0))</f>
        <v/>
      </c>
      <c r="K19" s="11">
        <f>IF($A19="","",IFERROR(D19/E19,0))</f>
        <v/>
      </c>
      <c r="L19" s="12">
        <f>IF($A19="","",IFERROR(F19/7,0))</f>
        <v/>
      </c>
      <c r="M19" s="12">
        <f>IF($A19="","",ROUND(IFERROR(G19/7,0),0))</f>
        <v/>
      </c>
      <c r="N19" s="11">
        <f>IF($A19="","",IFERROR(H19/C19,0))</f>
        <v/>
      </c>
      <c r="O19" s="11">
        <f>IF($A19="","",IFERROR(B19/C19,0))</f>
        <v/>
      </c>
      <c r="P19" s="11">
        <f>IF($A19="","",MAX(0,AVERAGE(J19,K19,1-N19)))</f>
        <v/>
      </c>
    </row>
    <row r="20" ht="22" customHeight="1">
      <c r="A20" s="9" t="n">
        <v>46153</v>
      </c>
      <c r="B20" s="10" t="n">
        <v>193</v>
      </c>
      <c r="C20" s="10" t="n">
        <v>220</v>
      </c>
      <c r="D20" s="10" t="n">
        <v>940</v>
      </c>
      <c r="E20" s="10" t="n">
        <v>1540</v>
      </c>
      <c r="F20" s="10" t="n">
        <v>7859</v>
      </c>
      <c r="G20" s="10" t="n">
        <v>600</v>
      </c>
      <c r="H20" s="10" t="n">
        <v>10</v>
      </c>
      <c r="I20" s="12">
        <f>IF($A20="","",MAX(C20-B20,0))</f>
        <v/>
      </c>
      <c r="J20" s="11">
        <f>IF($A20="","",IFERROR(B20/C20,0))</f>
        <v/>
      </c>
      <c r="K20" s="11">
        <f>IF($A20="","",IFERROR(D20/E20,0))</f>
        <v/>
      </c>
      <c r="L20" s="12">
        <f>IF($A20="","",IFERROR(F20/7,0))</f>
        <v/>
      </c>
      <c r="M20" s="12">
        <f>IF($A20="","",ROUND(IFERROR(G20/7,0),0))</f>
        <v/>
      </c>
      <c r="N20" s="11">
        <f>IF($A20="","",IFERROR(H20/C20,0))</f>
        <v/>
      </c>
      <c r="O20" s="11">
        <f>IF($A20="","",IFERROR(B20/C20,0))</f>
        <v/>
      </c>
      <c r="P20" s="11">
        <f>IF($A20="","",MAX(0,AVERAGE(J20,K20,1-N20)))</f>
        <v/>
      </c>
    </row>
    <row r="21" ht="22" customHeight="1">
      <c r="A21" s="9" t="n">
        <v>46160</v>
      </c>
      <c r="B21" s="10" t="n">
        <v>187</v>
      </c>
      <c r="C21" s="10" t="n">
        <v>220</v>
      </c>
      <c r="D21" s="10" t="n">
        <v>869</v>
      </c>
      <c r="E21" s="10" t="n">
        <v>1540</v>
      </c>
      <c r="F21" s="10" t="n">
        <v>6513</v>
      </c>
      <c r="G21" s="10" t="n">
        <v>671</v>
      </c>
      <c r="H21" s="10" t="n">
        <v>1</v>
      </c>
      <c r="I21" s="12">
        <f>IF($A21="","",MAX(C21-B21,0))</f>
        <v/>
      </c>
      <c r="J21" s="11">
        <f>IF($A21="","",IFERROR(B21/C21,0))</f>
        <v/>
      </c>
      <c r="K21" s="11">
        <f>IF($A21="","",IFERROR(D21/E21,0))</f>
        <v/>
      </c>
      <c r="L21" s="12">
        <f>IF($A21="","",IFERROR(F21/7,0))</f>
        <v/>
      </c>
      <c r="M21" s="12">
        <f>IF($A21="","",ROUND(IFERROR(G21/7,0),0))</f>
        <v/>
      </c>
      <c r="N21" s="11">
        <f>IF($A21="","",IFERROR(H21/C21,0))</f>
        <v/>
      </c>
      <c r="O21" s="11">
        <f>IF($A21="","",IFERROR(B21/C21,0))</f>
        <v/>
      </c>
      <c r="P21" s="11">
        <f>IF($A21="","",MAX(0,AVERAGE(J21,K21,1-N21)))</f>
        <v/>
      </c>
    </row>
    <row r="22" ht="22" customHeight="1">
      <c r="A22" s="9" t="n">
        <v>46167</v>
      </c>
      <c r="B22" s="10" t="n">
        <v>189</v>
      </c>
      <c r="C22" s="10" t="n">
        <v>220</v>
      </c>
      <c r="D22" s="10" t="n">
        <v>891</v>
      </c>
      <c r="E22" s="10" t="n">
        <v>1540</v>
      </c>
      <c r="F22" s="10" t="n">
        <v>7780</v>
      </c>
      <c r="G22" s="10" t="n">
        <v>649</v>
      </c>
      <c r="H22" s="10" t="n">
        <v>10</v>
      </c>
      <c r="I22" s="12">
        <f>IF($A22="","",MAX(C22-B22,0))</f>
        <v/>
      </c>
      <c r="J22" s="11">
        <f>IF($A22="","",IFERROR(B22/C22,0))</f>
        <v/>
      </c>
      <c r="K22" s="11">
        <f>IF($A22="","",IFERROR(D22/E22,0))</f>
        <v/>
      </c>
      <c r="L22" s="12">
        <f>IF($A22="","",IFERROR(F22/7,0))</f>
        <v/>
      </c>
      <c r="M22" s="12">
        <f>IF($A22="","",ROUND(IFERROR(G22/7,0),0))</f>
        <v/>
      </c>
      <c r="N22" s="11">
        <f>IF($A22="","",IFERROR(H22/C22,0))</f>
        <v/>
      </c>
      <c r="O22" s="11">
        <f>IF($A22="","",IFERROR(B22/C22,0))</f>
        <v/>
      </c>
      <c r="P22" s="11">
        <f>IF($A22="","",MAX(0,AVERAGE(J22,K22,1-N22)))</f>
        <v/>
      </c>
    </row>
    <row r="23" ht="22" customHeight="1">
      <c r="A23" s="9" t="n">
        <v>46174</v>
      </c>
      <c r="B23" s="10" t="n">
        <v>185</v>
      </c>
      <c r="C23" s="10" t="n">
        <v>220</v>
      </c>
      <c r="D23" s="10" t="n">
        <v>914</v>
      </c>
      <c r="E23" s="10" t="n">
        <v>1540</v>
      </c>
      <c r="F23" s="10" t="n">
        <v>7225</v>
      </c>
      <c r="G23" s="10" t="n">
        <v>626</v>
      </c>
      <c r="H23" s="10" t="n">
        <v>7</v>
      </c>
      <c r="I23" s="12">
        <f>IF($A23="","",MAX(C23-B23,0))</f>
        <v/>
      </c>
      <c r="J23" s="11">
        <f>IF($A23="","",IFERROR(B23/C23,0))</f>
        <v/>
      </c>
      <c r="K23" s="11">
        <f>IF($A23="","",IFERROR(D23/E23,0))</f>
        <v/>
      </c>
      <c r="L23" s="12">
        <f>IF($A23="","",IFERROR(F23/7,0))</f>
        <v/>
      </c>
      <c r="M23" s="12">
        <f>IF($A23="","",ROUND(IFERROR(G23/7,0),0))</f>
        <v/>
      </c>
      <c r="N23" s="11">
        <f>IF($A23="","",IFERROR(H23/C23,0))</f>
        <v/>
      </c>
      <c r="O23" s="11">
        <f>IF($A23="","",IFERROR(B23/C23,0))</f>
        <v/>
      </c>
      <c r="P23" s="11">
        <f>IF($A23="","",MAX(0,AVERAGE(J23,K23,1-N23)))</f>
        <v/>
      </c>
    </row>
    <row r="24" ht="22" customHeight="1">
      <c r="A24" s="9" t="n">
        <v>46181</v>
      </c>
      <c r="B24" s="10" t="n">
        <v>185</v>
      </c>
      <c r="C24" s="10" t="n">
        <v>220</v>
      </c>
      <c r="D24" s="10" t="n">
        <v>886</v>
      </c>
      <c r="E24" s="10" t="n">
        <v>1540</v>
      </c>
      <c r="F24" s="10" t="n">
        <v>8206</v>
      </c>
      <c r="G24" s="10" t="n">
        <v>654</v>
      </c>
      <c r="H24" s="10" t="n">
        <v>11</v>
      </c>
      <c r="I24" s="12">
        <f>IF($A24="","",MAX(C24-B24,0))</f>
        <v/>
      </c>
      <c r="J24" s="11">
        <f>IF($A24="","",IFERROR(B24/C24,0))</f>
        <v/>
      </c>
      <c r="K24" s="11">
        <f>IF($A24="","",IFERROR(D24/E24,0))</f>
        <v/>
      </c>
      <c r="L24" s="12">
        <f>IF($A24="","",IFERROR(F24/7,0))</f>
        <v/>
      </c>
      <c r="M24" s="12">
        <f>IF($A24="","",ROUND(IFERROR(G24/7,0),0))</f>
        <v/>
      </c>
      <c r="N24" s="11">
        <f>IF($A24="","",IFERROR(H24/C24,0))</f>
        <v/>
      </c>
      <c r="O24" s="11">
        <f>IF($A24="","",IFERROR(B24/C24,0))</f>
        <v/>
      </c>
      <c r="P24" s="11">
        <f>IF($A24="","",MAX(0,AVERAGE(J24,K24,1-N24)))</f>
        <v/>
      </c>
    </row>
    <row r="25" ht="22" customHeight="1">
      <c r="A25" s="9" t="n">
        <v>46188</v>
      </c>
      <c r="B25" s="10" t="n">
        <v>186</v>
      </c>
      <c r="C25" s="10" t="n">
        <v>220</v>
      </c>
      <c r="D25" s="10" t="n">
        <v>911</v>
      </c>
      <c r="E25" s="10" t="n">
        <v>1540</v>
      </c>
      <c r="F25" s="10" t="n">
        <v>7622</v>
      </c>
      <c r="G25" s="10" t="n">
        <v>629</v>
      </c>
      <c r="H25" s="10" t="n">
        <v>5</v>
      </c>
      <c r="I25" s="12">
        <f>IF($A25="","",MAX(C25-B25,0))</f>
        <v/>
      </c>
      <c r="J25" s="11">
        <f>IF($A25="","",IFERROR(B25/C25,0))</f>
        <v/>
      </c>
      <c r="K25" s="11">
        <f>IF($A25="","",IFERROR(D25/E25,0))</f>
        <v/>
      </c>
      <c r="L25" s="12">
        <f>IF($A25="","",IFERROR(F25/7,0))</f>
        <v/>
      </c>
      <c r="M25" s="12">
        <f>IF($A25="","",ROUND(IFERROR(G25/7,0),0))</f>
        <v/>
      </c>
      <c r="N25" s="11">
        <f>IF($A25="","",IFERROR(H25/C25,0))</f>
        <v/>
      </c>
      <c r="O25" s="11">
        <f>IF($A25="","",IFERROR(B25/C25,0))</f>
        <v/>
      </c>
      <c r="P25" s="11">
        <f>IF($A25="","",MAX(0,AVERAGE(J25,K25,1-N25)))</f>
        <v/>
      </c>
    </row>
    <row r="26" ht="22" customHeight="1">
      <c r="A26" s="9" t="n">
        <v>46195</v>
      </c>
      <c r="B26" s="10" t="n">
        <v>190</v>
      </c>
      <c r="C26" s="10" t="n">
        <v>220</v>
      </c>
      <c r="D26" s="10" t="n">
        <v>967</v>
      </c>
      <c r="E26" s="10" t="n">
        <v>1540</v>
      </c>
      <c r="F26" s="10" t="n">
        <v>9860</v>
      </c>
      <c r="G26" s="10" t="n">
        <v>573</v>
      </c>
      <c r="H26" s="10" t="n">
        <v>5</v>
      </c>
      <c r="I26" s="12">
        <f>IF($A26="","",MAX(C26-B26,0))</f>
        <v/>
      </c>
      <c r="J26" s="11">
        <f>IF($A26="","",IFERROR(B26/C26,0))</f>
        <v/>
      </c>
      <c r="K26" s="11">
        <f>IF($A26="","",IFERROR(D26/E26,0))</f>
        <v/>
      </c>
      <c r="L26" s="12">
        <f>IF($A26="","",IFERROR(F26/7,0))</f>
        <v/>
      </c>
      <c r="M26" s="12">
        <f>IF($A26="","",ROUND(IFERROR(G26/7,0),0))</f>
        <v/>
      </c>
      <c r="N26" s="11">
        <f>IF($A26="","",IFERROR(H26/C26,0))</f>
        <v/>
      </c>
      <c r="O26" s="11">
        <f>IF($A26="","",IFERROR(B26/C26,0))</f>
        <v/>
      </c>
      <c r="P26" s="11">
        <f>IF($A26="","",MAX(0,AVERAGE(J26,K26,1-N26)))</f>
        <v/>
      </c>
    </row>
    <row r="27" ht="22" customHeight="1">
      <c r="A27" s="9" t="n">
        <v>46202</v>
      </c>
      <c r="B27" s="10" t="n">
        <v>195</v>
      </c>
      <c r="C27" s="10" t="n">
        <v>220</v>
      </c>
      <c r="D27" s="10" t="n">
        <v>880</v>
      </c>
      <c r="E27" s="10" t="n">
        <v>1540</v>
      </c>
      <c r="F27" s="10" t="n">
        <v>7560</v>
      </c>
      <c r="G27" s="10" t="n">
        <v>660</v>
      </c>
      <c r="H27" s="10" t="n">
        <v>10</v>
      </c>
      <c r="I27" s="12">
        <f>IF($A27="","",MAX(C27-B27,0))</f>
        <v/>
      </c>
      <c r="J27" s="11">
        <f>IF($A27="","",IFERROR(B27/C27,0))</f>
        <v/>
      </c>
      <c r="K27" s="11">
        <f>IF($A27="","",IFERROR(D27/E27,0))</f>
        <v/>
      </c>
      <c r="L27" s="12">
        <f>IF($A27="","",IFERROR(F27/7,0))</f>
        <v/>
      </c>
      <c r="M27" s="12">
        <f>IF($A27="","",ROUND(IFERROR(G27/7,0),0))</f>
        <v/>
      </c>
      <c r="N27" s="11">
        <f>IF($A27="","",IFERROR(H27/C27,0))</f>
        <v/>
      </c>
      <c r="O27" s="11">
        <f>IF($A27="","",IFERROR(B27/C27,0))</f>
        <v/>
      </c>
      <c r="P27" s="11">
        <f>IF($A27="","",MAX(0,AVERAGE(J27,K27,1-N27)))</f>
        <v/>
      </c>
    </row>
    <row r="28" ht="22" customHeight="1">
      <c r="A28" s="9" t="n">
        <v>46209</v>
      </c>
      <c r="B28" s="10" t="n">
        <v>200</v>
      </c>
      <c r="C28" s="10" t="n">
        <v>220</v>
      </c>
      <c r="D28" s="10" t="n">
        <v>964</v>
      </c>
      <c r="E28" s="10" t="n">
        <v>1540</v>
      </c>
      <c r="F28" s="10" t="n">
        <v>5658</v>
      </c>
      <c r="G28" s="10" t="n">
        <v>576</v>
      </c>
      <c r="H28" s="10" t="n">
        <v>17</v>
      </c>
      <c r="I28" s="12">
        <f>IF($A28="","",MAX(C28-B28,0))</f>
        <v/>
      </c>
      <c r="J28" s="11">
        <f>IF($A28="","",IFERROR(B28/C28,0))</f>
        <v/>
      </c>
      <c r="K28" s="11">
        <f>IF($A28="","",IFERROR(D28/E28,0))</f>
        <v/>
      </c>
      <c r="L28" s="12">
        <f>IF($A28="","",IFERROR(F28/7,0))</f>
        <v/>
      </c>
      <c r="M28" s="12">
        <f>IF($A28="","",ROUND(IFERROR(G28/7,0),0))</f>
        <v/>
      </c>
      <c r="N28" s="11">
        <f>IF($A28="","",IFERROR(H28/C28,0))</f>
        <v/>
      </c>
      <c r="O28" s="11">
        <f>IF($A28="","",IFERROR(B28/C28,0))</f>
        <v/>
      </c>
      <c r="P28" s="11">
        <f>IF($A28="","",MAX(0,AVERAGE(J28,K28,1-N28)))</f>
        <v/>
      </c>
    </row>
    <row r="29" ht="22" customHeight="1">
      <c r="A29" s="9" t="n">
        <v>46216</v>
      </c>
      <c r="B29" s="10" t="n">
        <v>197</v>
      </c>
      <c r="C29" s="10" t="n">
        <v>220</v>
      </c>
      <c r="D29" s="10" t="n">
        <v>928</v>
      </c>
      <c r="E29" s="10" t="n">
        <v>1540</v>
      </c>
      <c r="F29" s="10" t="n">
        <v>7605</v>
      </c>
      <c r="G29" s="10" t="n">
        <v>612</v>
      </c>
      <c r="H29" s="10" t="n">
        <v>9</v>
      </c>
      <c r="I29" s="12">
        <f>IF($A29="","",MAX(C29-B29,0))</f>
        <v/>
      </c>
      <c r="J29" s="11">
        <f>IF($A29="","",IFERROR(B29/C29,0))</f>
        <v/>
      </c>
      <c r="K29" s="11">
        <f>IF($A29="","",IFERROR(D29/E29,0))</f>
        <v/>
      </c>
      <c r="L29" s="12">
        <f>IF($A29="","",IFERROR(F29/7,0))</f>
        <v/>
      </c>
      <c r="M29" s="12">
        <f>IF($A29="","",ROUND(IFERROR(G29/7,0),0))</f>
        <v/>
      </c>
      <c r="N29" s="11">
        <f>IF($A29="","",IFERROR(H29/C29,0))</f>
        <v/>
      </c>
      <c r="O29" s="11">
        <f>IF($A29="","",IFERROR(B29/C29,0))</f>
        <v/>
      </c>
      <c r="P29" s="11">
        <f>IF($A29="","",MAX(0,AVERAGE(J29,K29,1-N29)))</f>
        <v/>
      </c>
    </row>
    <row r="30" ht="22" customHeight="1">
      <c r="A30" s="9" t="n">
        <v>46223</v>
      </c>
      <c r="B30" s="10" t="n">
        <v>198</v>
      </c>
      <c r="C30" s="10" t="n">
        <v>220</v>
      </c>
      <c r="D30" s="10" t="n">
        <v>1012</v>
      </c>
      <c r="E30" s="10" t="n">
        <v>1540</v>
      </c>
      <c r="F30" s="10" t="n">
        <v>8791</v>
      </c>
      <c r="G30" s="10" t="n">
        <v>528</v>
      </c>
      <c r="H30" s="10" t="n">
        <v>8</v>
      </c>
      <c r="I30" s="12">
        <f>IF($A30="","",MAX(C30-B30,0))</f>
        <v/>
      </c>
      <c r="J30" s="11">
        <f>IF($A30="","",IFERROR(B30/C30,0))</f>
        <v/>
      </c>
      <c r="K30" s="11">
        <f>IF($A30="","",IFERROR(D30/E30,0))</f>
        <v/>
      </c>
      <c r="L30" s="12">
        <f>IF($A30="","",IFERROR(F30/7,0))</f>
        <v/>
      </c>
      <c r="M30" s="12">
        <f>IF($A30="","",ROUND(IFERROR(G30/7,0),0))</f>
        <v/>
      </c>
      <c r="N30" s="11">
        <f>IF($A30="","",IFERROR(H30/C30,0))</f>
        <v/>
      </c>
      <c r="O30" s="11">
        <f>IF($A30="","",IFERROR(B30/C30,0))</f>
        <v/>
      </c>
      <c r="P30" s="11">
        <f>IF($A30="","",MAX(0,AVERAGE(J30,K30,1-N30)))</f>
        <v/>
      </c>
    </row>
    <row r="31" ht="22" customHeight="1">
      <c r="A31" s="9" t="n">
        <v>46230</v>
      </c>
      <c r="B31" s="10" t="n">
        <v>195</v>
      </c>
      <c r="C31" s="10" t="n">
        <v>220</v>
      </c>
      <c r="D31" s="10" t="n">
        <v>1008</v>
      </c>
      <c r="E31" s="10" t="n">
        <v>1540</v>
      </c>
      <c r="F31" s="10" t="n">
        <v>6981</v>
      </c>
      <c r="G31" s="10" t="n">
        <v>532</v>
      </c>
      <c r="H31" s="10" t="n">
        <v>8</v>
      </c>
      <c r="I31" s="12">
        <f>IF($A31="","",MAX(C31-B31,0))</f>
        <v/>
      </c>
      <c r="J31" s="11">
        <f>IF($A31="","",IFERROR(B31/C31,0))</f>
        <v/>
      </c>
      <c r="K31" s="11">
        <f>IF($A31="","",IFERROR(D31/E31,0))</f>
        <v/>
      </c>
      <c r="L31" s="12">
        <f>IF($A31="","",IFERROR(F31/7,0))</f>
        <v/>
      </c>
      <c r="M31" s="12">
        <f>IF($A31="","",ROUND(IFERROR(G31/7,0),0))</f>
        <v/>
      </c>
      <c r="N31" s="11">
        <f>IF($A31="","",IFERROR(H31/C31,0))</f>
        <v/>
      </c>
      <c r="O31" s="11">
        <f>IF($A31="","",IFERROR(B31/C31,0))</f>
        <v/>
      </c>
      <c r="P31" s="11">
        <f>IF($A31="","",MAX(0,AVERAGE(J31,K31,1-N31)))</f>
        <v/>
      </c>
    </row>
    <row r="32" ht="22" customHeight="1">
      <c r="A32" s="9" t="n">
        <v>46237</v>
      </c>
      <c r="B32" s="10" t="n">
        <v>202</v>
      </c>
      <c r="C32" s="10" t="n">
        <v>220</v>
      </c>
      <c r="D32" s="10" t="n">
        <v>938</v>
      </c>
      <c r="E32" s="10" t="n">
        <v>1540</v>
      </c>
      <c r="F32" s="10" t="n">
        <v>6348</v>
      </c>
      <c r="G32" s="10" t="n">
        <v>602</v>
      </c>
      <c r="H32" s="10" t="n">
        <v>11</v>
      </c>
      <c r="I32" s="12">
        <f>IF($A32="","",MAX(C32-B32,0))</f>
        <v/>
      </c>
      <c r="J32" s="11">
        <f>IF($A32="","",IFERROR(B32/C32,0))</f>
        <v/>
      </c>
      <c r="K32" s="11">
        <f>IF($A32="","",IFERROR(D32/E32,0))</f>
        <v/>
      </c>
      <c r="L32" s="12">
        <f>IF($A32="","",IFERROR(F32/7,0))</f>
        <v/>
      </c>
      <c r="M32" s="12">
        <f>IF($A32="","",ROUND(IFERROR(G32/7,0),0))</f>
        <v/>
      </c>
      <c r="N32" s="11">
        <f>IF($A32="","",IFERROR(H32/C32,0))</f>
        <v/>
      </c>
      <c r="O32" s="11">
        <f>IF($A32="","",IFERROR(B32/C32,0))</f>
        <v/>
      </c>
      <c r="P32" s="11">
        <f>IF($A32="","",MAX(0,AVERAGE(J32,K32,1-N32)))</f>
        <v/>
      </c>
    </row>
    <row r="33" ht="22" customHeight="1">
      <c r="A33" s="9" t="n">
        <v>46244</v>
      </c>
      <c r="B33" s="10" t="n">
        <v>203</v>
      </c>
      <c r="C33" s="10" t="n">
        <v>220</v>
      </c>
      <c r="D33" s="10" t="n">
        <v>949</v>
      </c>
      <c r="E33" s="10" t="n">
        <v>1540</v>
      </c>
      <c r="F33" s="10" t="n">
        <v>9730</v>
      </c>
      <c r="G33" s="10" t="n">
        <v>591</v>
      </c>
      <c r="H33" s="10" t="n">
        <v>7</v>
      </c>
      <c r="I33" s="12">
        <f>IF($A33="","",MAX(C33-B33,0))</f>
        <v/>
      </c>
      <c r="J33" s="11">
        <f>IF($A33="","",IFERROR(B33/C33,0))</f>
        <v/>
      </c>
      <c r="K33" s="11">
        <f>IF($A33="","",IFERROR(D33/E33,0))</f>
        <v/>
      </c>
      <c r="L33" s="12">
        <f>IF($A33="","",IFERROR(F33/7,0))</f>
        <v/>
      </c>
      <c r="M33" s="12">
        <f>IF($A33="","",ROUND(IFERROR(G33/7,0),0))</f>
        <v/>
      </c>
      <c r="N33" s="11">
        <f>IF($A33="","",IFERROR(H33/C33,0))</f>
        <v/>
      </c>
      <c r="O33" s="11">
        <f>IF($A33="","",IFERROR(B33/C33,0))</f>
        <v/>
      </c>
      <c r="P33" s="11">
        <f>IF($A33="","",MAX(0,AVERAGE(J33,K33,1-N33)))</f>
        <v/>
      </c>
    </row>
    <row r="34" ht="22" customHeight="1">
      <c r="A34" s="9" t="n">
        <v>46251</v>
      </c>
      <c r="B34" s="10" t="n">
        <v>205</v>
      </c>
      <c r="C34" s="10" t="n">
        <v>220</v>
      </c>
      <c r="D34" s="10" t="n">
        <v>954</v>
      </c>
      <c r="E34" s="10" t="n">
        <v>1540</v>
      </c>
      <c r="F34" s="10" t="n">
        <v>8048</v>
      </c>
      <c r="G34" s="10" t="n">
        <v>586</v>
      </c>
      <c r="H34" s="10" t="n">
        <v>9</v>
      </c>
      <c r="I34" s="12">
        <f>IF($A34="","",MAX(C34-B34,0))</f>
        <v/>
      </c>
      <c r="J34" s="11">
        <f>IF($A34="","",IFERROR(B34/C34,0))</f>
        <v/>
      </c>
      <c r="K34" s="11">
        <f>IF($A34="","",IFERROR(D34/E34,0))</f>
        <v/>
      </c>
      <c r="L34" s="12">
        <f>IF($A34="","",IFERROR(F34/7,0))</f>
        <v/>
      </c>
      <c r="M34" s="12">
        <f>IF($A34="","",ROUND(IFERROR(G34/7,0),0))</f>
        <v/>
      </c>
      <c r="N34" s="11">
        <f>IF($A34="","",IFERROR(H34/C34,0))</f>
        <v/>
      </c>
      <c r="O34" s="11">
        <f>IF($A34="","",IFERROR(B34/C34,0))</f>
        <v/>
      </c>
      <c r="P34" s="11">
        <f>IF($A34="","",MAX(0,AVERAGE(J34,K34,1-N34)))</f>
        <v/>
      </c>
    </row>
    <row r="35" ht="22" customHeight="1">
      <c r="A35" s="9" t="n">
        <v>46258</v>
      </c>
      <c r="B35" s="10" t="n">
        <v>211</v>
      </c>
      <c r="C35" s="10" t="n">
        <v>220</v>
      </c>
      <c r="D35" s="10" t="n">
        <v>995</v>
      </c>
      <c r="E35" s="10" t="n">
        <v>1540</v>
      </c>
      <c r="F35" s="10" t="n">
        <v>6773</v>
      </c>
      <c r="G35" s="10" t="n">
        <v>545</v>
      </c>
      <c r="H35" s="10" t="n">
        <v>8</v>
      </c>
      <c r="I35" s="12">
        <f>IF($A35="","",MAX(C35-B35,0))</f>
        <v/>
      </c>
      <c r="J35" s="11">
        <f>IF($A35="","",IFERROR(B35/C35,0))</f>
        <v/>
      </c>
      <c r="K35" s="11">
        <f>IF($A35="","",IFERROR(D35/E35,0))</f>
        <v/>
      </c>
      <c r="L35" s="12">
        <f>IF($A35="","",IFERROR(F35/7,0))</f>
        <v/>
      </c>
      <c r="M35" s="12">
        <f>IF($A35="","",ROUND(IFERROR(G35/7,0),0))</f>
        <v/>
      </c>
      <c r="N35" s="11">
        <f>IF($A35="","",IFERROR(H35/C35,0))</f>
        <v/>
      </c>
      <c r="O35" s="11">
        <f>IF($A35="","",IFERROR(B35/C35,0))</f>
        <v/>
      </c>
      <c r="P35" s="11">
        <f>IF($A35="","",MAX(0,AVERAGE(J35,K35,1-N35)))</f>
        <v/>
      </c>
    </row>
    <row r="36" ht="22" customHeight="1">
      <c r="A36" s="9" t="n">
        <v>46265</v>
      </c>
      <c r="B36" s="10" t="n">
        <v>205</v>
      </c>
      <c r="C36" s="10" t="n">
        <v>220</v>
      </c>
      <c r="D36" s="10" t="n">
        <v>916</v>
      </c>
      <c r="E36" s="10" t="n">
        <v>1540</v>
      </c>
      <c r="F36" s="10" t="n">
        <v>7357</v>
      </c>
      <c r="G36" s="10" t="n">
        <v>624</v>
      </c>
      <c r="H36" s="10" t="n">
        <v>1</v>
      </c>
      <c r="I36" s="12">
        <f>IF($A36="","",MAX(C36-B36,0))</f>
        <v/>
      </c>
      <c r="J36" s="11">
        <f>IF($A36="","",IFERROR(B36/C36,0))</f>
        <v/>
      </c>
      <c r="K36" s="11">
        <f>IF($A36="","",IFERROR(D36/E36,0))</f>
        <v/>
      </c>
      <c r="L36" s="12">
        <f>IF($A36="","",IFERROR(F36/7,0))</f>
        <v/>
      </c>
      <c r="M36" s="12">
        <f>IF($A36="","",ROUND(IFERROR(G36/7,0),0))</f>
        <v/>
      </c>
      <c r="N36" s="11">
        <f>IF($A36="","",IFERROR(H36/C36,0))</f>
        <v/>
      </c>
      <c r="O36" s="11">
        <f>IF($A36="","",IFERROR(B36/C36,0))</f>
        <v/>
      </c>
      <c r="P36" s="11">
        <f>IF($A36="","",MAX(0,AVERAGE(J36,K36,1-N36)))</f>
        <v/>
      </c>
    </row>
    <row r="37" ht="22" customHeight="1">
      <c r="A37" s="9" t="n">
        <v>46272</v>
      </c>
      <c r="B37" s="10" t="n">
        <v>220</v>
      </c>
      <c r="C37" s="10" t="n">
        <v>220</v>
      </c>
      <c r="D37" s="10" t="n">
        <v>1045</v>
      </c>
      <c r="E37" s="10" t="n">
        <v>1540</v>
      </c>
      <c r="F37" s="10" t="n">
        <v>9473</v>
      </c>
      <c r="G37" s="10" t="n">
        <v>495</v>
      </c>
      <c r="H37" s="10" t="n">
        <v>11</v>
      </c>
      <c r="I37" s="12">
        <f>IF($A37="","",MAX(C37-B37,0))</f>
        <v/>
      </c>
      <c r="J37" s="11">
        <f>IF($A37="","",IFERROR(B37/C37,0))</f>
        <v/>
      </c>
      <c r="K37" s="11">
        <f>IF($A37="","",IFERROR(D37/E37,0))</f>
        <v/>
      </c>
      <c r="L37" s="12">
        <f>IF($A37="","",IFERROR(F37/7,0))</f>
        <v/>
      </c>
      <c r="M37" s="12">
        <f>IF($A37="","",ROUND(IFERROR(G37/7,0),0))</f>
        <v/>
      </c>
      <c r="N37" s="11">
        <f>IF($A37="","",IFERROR(H37/C37,0))</f>
        <v/>
      </c>
      <c r="O37" s="11">
        <f>IF($A37="","",IFERROR(B37/C37,0))</f>
        <v/>
      </c>
      <c r="P37" s="11">
        <f>IF($A37="","",MAX(0,AVERAGE(J37,K37,1-N37)))</f>
        <v/>
      </c>
    </row>
    <row r="38" ht="22" customHeight="1">
      <c r="A38" s="9" t="n">
        <v>46279</v>
      </c>
      <c r="B38" s="10" t="n">
        <v>213</v>
      </c>
      <c r="C38" s="10" t="n">
        <v>220</v>
      </c>
      <c r="D38" s="10" t="n">
        <v>1084</v>
      </c>
      <c r="E38" s="10" t="n">
        <v>1540</v>
      </c>
      <c r="F38" s="10" t="n">
        <v>8747</v>
      </c>
      <c r="G38" s="10" t="n">
        <v>456</v>
      </c>
      <c r="H38" s="10" t="n">
        <v>5</v>
      </c>
      <c r="I38" s="12">
        <f>IF($A38="","",MAX(C38-B38,0))</f>
        <v/>
      </c>
      <c r="J38" s="11">
        <f>IF($A38="","",IFERROR(B38/C38,0))</f>
        <v/>
      </c>
      <c r="K38" s="11">
        <f>IF($A38="","",IFERROR(D38/E38,0))</f>
        <v/>
      </c>
      <c r="L38" s="12">
        <f>IF($A38="","",IFERROR(F38/7,0))</f>
        <v/>
      </c>
      <c r="M38" s="12">
        <f>IF($A38="","",ROUND(IFERROR(G38/7,0),0))</f>
        <v/>
      </c>
      <c r="N38" s="11">
        <f>IF($A38="","",IFERROR(H38/C38,0))</f>
        <v/>
      </c>
      <c r="O38" s="11">
        <f>IF($A38="","",IFERROR(B38/C38,0))</f>
        <v/>
      </c>
      <c r="P38" s="11">
        <f>IF($A38="","",MAX(0,AVERAGE(J38,K38,1-N38)))</f>
        <v/>
      </c>
    </row>
    <row r="39" ht="22" customHeight="1">
      <c r="A39" s="9" t="n">
        <v>46286</v>
      </c>
      <c r="B39" s="10" t="n">
        <v>211</v>
      </c>
      <c r="C39" s="10" t="n">
        <v>220</v>
      </c>
      <c r="D39" s="10" t="n">
        <v>1003</v>
      </c>
      <c r="E39" s="10" t="n">
        <v>1540</v>
      </c>
      <c r="F39" s="10" t="n">
        <v>7072</v>
      </c>
      <c r="G39" s="10" t="n">
        <v>537</v>
      </c>
      <c r="H39" s="10" t="n">
        <v>12</v>
      </c>
      <c r="I39" s="12">
        <f>IF($A39="","",MAX(C39-B39,0))</f>
        <v/>
      </c>
      <c r="J39" s="11">
        <f>IF($A39="","",IFERROR(B39/C39,0))</f>
        <v/>
      </c>
      <c r="K39" s="11">
        <f>IF($A39="","",IFERROR(D39/E39,0))</f>
        <v/>
      </c>
      <c r="L39" s="12">
        <f>IF($A39="","",IFERROR(F39/7,0))</f>
        <v/>
      </c>
      <c r="M39" s="12">
        <f>IF($A39="","",ROUND(IFERROR(G39/7,0),0))</f>
        <v/>
      </c>
      <c r="N39" s="11">
        <f>IF($A39="","",IFERROR(H39/C39,0))</f>
        <v/>
      </c>
      <c r="O39" s="11">
        <f>IF($A39="","",IFERROR(B39/C39,0))</f>
        <v/>
      </c>
      <c r="P39" s="11">
        <f>IF($A39="","",MAX(0,AVERAGE(J39,K39,1-N39)))</f>
        <v/>
      </c>
    </row>
    <row r="40" ht="22" customHeight="1">
      <c r="A40" s="9" t="n">
        <v>46293</v>
      </c>
      <c r="B40" s="10" t="n">
        <v>218</v>
      </c>
      <c r="C40" s="10" t="n">
        <v>220</v>
      </c>
      <c r="D40" s="10" t="n">
        <v>1055</v>
      </c>
      <c r="E40" s="10" t="n">
        <v>1540</v>
      </c>
      <c r="F40" s="10" t="n">
        <v>7433</v>
      </c>
      <c r="G40" s="10" t="n">
        <v>485</v>
      </c>
      <c r="H40" s="10" t="n">
        <v>2</v>
      </c>
      <c r="I40" s="12">
        <f>IF($A40="","",MAX(C40-B40,0))</f>
        <v/>
      </c>
      <c r="J40" s="11">
        <f>IF($A40="","",IFERROR(B40/C40,0))</f>
        <v/>
      </c>
      <c r="K40" s="11">
        <f>IF($A40="","",IFERROR(D40/E40,0))</f>
        <v/>
      </c>
      <c r="L40" s="12">
        <f>IF($A40="","",IFERROR(F40/7,0))</f>
        <v/>
      </c>
      <c r="M40" s="12">
        <f>IF($A40="","",ROUND(IFERROR(G40/7,0),0))</f>
        <v/>
      </c>
      <c r="N40" s="11">
        <f>IF($A40="","",IFERROR(H40/C40,0))</f>
        <v/>
      </c>
      <c r="O40" s="11">
        <f>IF($A40="","",IFERROR(B40/C40,0))</f>
        <v/>
      </c>
      <c r="P40" s="11">
        <f>IF($A40="","",MAX(0,AVERAGE(J40,K40,1-N40)))</f>
        <v/>
      </c>
    </row>
    <row r="41" ht="22" customHeight="1">
      <c r="A41" s="9" t="n">
        <v>46300</v>
      </c>
      <c r="B41" s="10" t="n">
        <v>215</v>
      </c>
      <c r="C41" s="10" t="n">
        <v>220</v>
      </c>
      <c r="D41" s="10" t="n">
        <v>1072</v>
      </c>
      <c r="E41" s="10" t="n">
        <v>1540</v>
      </c>
      <c r="F41" s="10" t="n">
        <v>8156</v>
      </c>
      <c r="G41" s="10" t="n">
        <v>468</v>
      </c>
      <c r="H41" s="10" t="n">
        <v>13</v>
      </c>
      <c r="I41" s="12">
        <f>IF($A41="","",MAX(C41-B41,0))</f>
        <v/>
      </c>
      <c r="J41" s="11">
        <f>IF($A41="","",IFERROR(B41/C41,0))</f>
        <v/>
      </c>
      <c r="K41" s="11">
        <f>IF($A41="","",IFERROR(D41/E41,0))</f>
        <v/>
      </c>
      <c r="L41" s="12">
        <f>IF($A41="","",IFERROR(F41/7,0))</f>
        <v/>
      </c>
      <c r="M41" s="12">
        <f>IF($A41="","",ROUND(IFERROR(G41/7,0),0))</f>
        <v/>
      </c>
      <c r="N41" s="11">
        <f>IF($A41="","",IFERROR(H41/C41,0))</f>
        <v/>
      </c>
      <c r="O41" s="11">
        <f>IF($A41="","",IFERROR(B41/C41,0))</f>
        <v/>
      </c>
      <c r="P41" s="11">
        <f>IF($A41="","",MAX(0,AVERAGE(J41,K41,1-N41)))</f>
        <v/>
      </c>
    </row>
    <row r="42" ht="22" customHeight="1">
      <c r="A42" s="9" t="n">
        <v>46307</v>
      </c>
      <c r="B42" s="10" t="n">
        <v>211</v>
      </c>
      <c r="C42" s="10" t="n">
        <v>220</v>
      </c>
      <c r="D42" s="10" t="n">
        <v>1084</v>
      </c>
      <c r="E42" s="10" t="n">
        <v>1540</v>
      </c>
      <c r="F42" s="10" t="n">
        <v>8713</v>
      </c>
      <c r="G42" s="10" t="n">
        <v>456</v>
      </c>
      <c r="H42" s="10" t="n">
        <v>6</v>
      </c>
      <c r="I42" s="12">
        <f>IF($A42="","",MAX(C42-B42,0))</f>
        <v/>
      </c>
      <c r="J42" s="11">
        <f>IF($A42="","",IFERROR(B42/C42,0))</f>
        <v/>
      </c>
      <c r="K42" s="11">
        <f>IF($A42="","",IFERROR(D42/E42,0))</f>
        <v/>
      </c>
      <c r="L42" s="12">
        <f>IF($A42="","",IFERROR(F42/7,0))</f>
        <v/>
      </c>
      <c r="M42" s="12">
        <f>IF($A42="","",ROUND(IFERROR(G42/7,0),0))</f>
        <v/>
      </c>
      <c r="N42" s="11">
        <f>IF($A42="","",IFERROR(H42/C42,0))</f>
        <v/>
      </c>
      <c r="O42" s="11">
        <f>IF($A42="","",IFERROR(B42/C42,0))</f>
        <v/>
      </c>
      <c r="P42" s="11">
        <f>IF($A42="","",MAX(0,AVERAGE(J42,K42,1-N42)))</f>
        <v/>
      </c>
    </row>
    <row r="43" ht="22" customHeight="1">
      <c r="A43" s="9" t="n">
        <v>46314</v>
      </c>
      <c r="B43" s="10" t="n">
        <v>215</v>
      </c>
      <c r="C43" s="10" t="n">
        <v>220</v>
      </c>
      <c r="D43" s="10" t="n">
        <v>1150</v>
      </c>
      <c r="E43" s="10" t="n">
        <v>1540</v>
      </c>
      <c r="F43" s="10" t="n">
        <v>10863</v>
      </c>
      <c r="G43" s="10" t="n">
        <v>390</v>
      </c>
      <c r="H43" s="10" t="n">
        <v>14</v>
      </c>
      <c r="I43" s="12">
        <f>IF($A43="","",MAX(C43-B43,0))</f>
        <v/>
      </c>
      <c r="J43" s="11">
        <f>IF($A43="","",IFERROR(B43/C43,0))</f>
        <v/>
      </c>
      <c r="K43" s="11">
        <f>IF($A43="","",IFERROR(D43/E43,0))</f>
        <v/>
      </c>
      <c r="L43" s="12">
        <f>IF($A43="","",IFERROR(F43/7,0))</f>
        <v/>
      </c>
      <c r="M43" s="12">
        <f>IF($A43="","",ROUND(IFERROR(G43/7,0),0))</f>
        <v/>
      </c>
      <c r="N43" s="11">
        <f>IF($A43="","",IFERROR(H43/C43,0))</f>
        <v/>
      </c>
      <c r="O43" s="11">
        <f>IF($A43="","",IFERROR(B43/C43,0))</f>
        <v/>
      </c>
      <c r="P43" s="11">
        <f>IF($A43="","",MAX(0,AVERAGE(J43,K43,1-N43)))</f>
        <v/>
      </c>
    </row>
    <row r="44" ht="22" customHeight="1">
      <c r="A44" s="9" t="n">
        <v>46321</v>
      </c>
      <c r="B44" s="10" t="n">
        <v>206</v>
      </c>
      <c r="C44" s="10" t="n">
        <v>220</v>
      </c>
      <c r="D44" s="10" t="n">
        <v>1016</v>
      </c>
      <c r="E44" s="10" t="n">
        <v>1540</v>
      </c>
      <c r="F44" s="10" t="n">
        <v>7821</v>
      </c>
      <c r="G44" s="10" t="n">
        <v>524</v>
      </c>
      <c r="H44" s="10" t="n">
        <v>5</v>
      </c>
      <c r="I44" s="12">
        <f>IF($A44="","",MAX(C44-B44,0))</f>
        <v/>
      </c>
      <c r="J44" s="11">
        <f>IF($A44="","",IFERROR(B44/C44,0))</f>
        <v/>
      </c>
      <c r="K44" s="11">
        <f>IF($A44="","",IFERROR(D44/E44,0))</f>
        <v/>
      </c>
      <c r="L44" s="12">
        <f>IF($A44="","",IFERROR(F44/7,0))</f>
        <v/>
      </c>
      <c r="M44" s="12">
        <f>IF($A44="","",ROUND(IFERROR(G44/7,0),0))</f>
        <v/>
      </c>
      <c r="N44" s="11">
        <f>IF($A44="","",IFERROR(H44/C44,0))</f>
        <v/>
      </c>
      <c r="O44" s="11">
        <f>IF($A44="","",IFERROR(B44/C44,0))</f>
        <v/>
      </c>
      <c r="P44" s="11">
        <f>IF($A44="","",MAX(0,AVERAGE(J44,K44,1-N44)))</f>
        <v/>
      </c>
    </row>
    <row r="45" ht="22" customHeight="1">
      <c r="A45" s="9" t="n">
        <v>46328</v>
      </c>
      <c r="B45" s="10" t="n">
        <v>212</v>
      </c>
      <c r="C45" s="10" t="n">
        <v>220</v>
      </c>
      <c r="D45" s="10" t="n">
        <v>994</v>
      </c>
      <c r="E45" s="10" t="n">
        <v>1540</v>
      </c>
      <c r="F45" s="10" t="n">
        <v>9016</v>
      </c>
      <c r="G45" s="10" t="n">
        <v>546</v>
      </c>
      <c r="H45" s="10" t="n">
        <v>11</v>
      </c>
      <c r="I45" s="12">
        <f>IF($A45="","",MAX(C45-B45,0))</f>
        <v/>
      </c>
      <c r="J45" s="11">
        <f>IF($A45="","",IFERROR(B45/C45,0))</f>
        <v/>
      </c>
      <c r="K45" s="11">
        <f>IF($A45="","",IFERROR(D45/E45,0))</f>
        <v/>
      </c>
      <c r="L45" s="12">
        <f>IF($A45="","",IFERROR(F45/7,0))</f>
        <v/>
      </c>
      <c r="M45" s="12">
        <f>IF($A45="","",ROUND(IFERROR(G45/7,0),0))</f>
        <v/>
      </c>
      <c r="N45" s="11">
        <f>IF($A45="","",IFERROR(H45/C45,0))</f>
        <v/>
      </c>
      <c r="O45" s="11">
        <f>IF($A45="","",IFERROR(B45/C45,0))</f>
        <v/>
      </c>
      <c r="P45" s="11">
        <f>IF($A45="","",MAX(0,AVERAGE(J45,K45,1-N45)))</f>
        <v/>
      </c>
    </row>
    <row r="46" ht="22" customHeight="1">
      <c r="A46" s="9" t="n">
        <v>46335</v>
      </c>
      <c r="B46" s="10" t="n">
        <v>205</v>
      </c>
      <c r="C46" s="10" t="n">
        <v>220</v>
      </c>
      <c r="D46" s="10" t="n">
        <v>976</v>
      </c>
      <c r="E46" s="10" t="n">
        <v>1540</v>
      </c>
      <c r="F46" s="10" t="n">
        <v>7743</v>
      </c>
      <c r="G46" s="10" t="n">
        <v>564</v>
      </c>
      <c r="H46" s="10" t="n">
        <v>12</v>
      </c>
      <c r="I46" s="12">
        <f>IF($A46="","",MAX(C46-B46,0))</f>
        <v/>
      </c>
      <c r="J46" s="11">
        <f>IF($A46="","",IFERROR(B46/C46,0))</f>
        <v/>
      </c>
      <c r="K46" s="11">
        <f>IF($A46="","",IFERROR(D46/E46,0))</f>
        <v/>
      </c>
      <c r="L46" s="12">
        <f>IF($A46="","",IFERROR(F46/7,0))</f>
        <v/>
      </c>
      <c r="M46" s="12">
        <f>IF($A46="","",ROUND(IFERROR(G46/7,0),0))</f>
        <v/>
      </c>
      <c r="N46" s="11">
        <f>IF($A46="","",IFERROR(H46/C46,0))</f>
        <v/>
      </c>
      <c r="O46" s="11">
        <f>IF($A46="","",IFERROR(B46/C46,0))</f>
        <v/>
      </c>
      <c r="P46" s="11">
        <f>IF($A46="","",MAX(0,AVERAGE(J46,K46,1-N46)))</f>
        <v/>
      </c>
    </row>
    <row r="47" ht="22" customHeight="1">
      <c r="A47" s="9" t="n">
        <v>46342</v>
      </c>
      <c r="B47" s="10" t="n">
        <v>199</v>
      </c>
      <c r="C47" s="10" t="n">
        <v>220</v>
      </c>
      <c r="D47" s="10" t="n">
        <v>1010</v>
      </c>
      <c r="E47" s="10" t="n">
        <v>1540</v>
      </c>
      <c r="F47" s="10" t="n">
        <v>7772</v>
      </c>
      <c r="G47" s="10" t="n">
        <v>530</v>
      </c>
      <c r="H47" s="10" t="n">
        <v>3</v>
      </c>
      <c r="I47" s="12">
        <f>IF($A47="","",MAX(C47-B47,0))</f>
        <v/>
      </c>
      <c r="J47" s="11">
        <f>IF($A47="","",IFERROR(B47/C47,0))</f>
        <v/>
      </c>
      <c r="K47" s="11">
        <f>IF($A47="","",IFERROR(D47/E47,0))</f>
        <v/>
      </c>
      <c r="L47" s="12">
        <f>IF($A47="","",IFERROR(F47/7,0))</f>
        <v/>
      </c>
      <c r="M47" s="12">
        <f>IF($A47="","",ROUND(IFERROR(G47/7,0),0))</f>
        <v/>
      </c>
      <c r="N47" s="11">
        <f>IF($A47="","",IFERROR(H47/C47,0))</f>
        <v/>
      </c>
      <c r="O47" s="11">
        <f>IF($A47="","",IFERROR(B47/C47,0))</f>
        <v/>
      </c>
      <c r="P47" s="11">
        <f>IF($A47="","",MAX(0,AVERAGE(J47,K47,1-N47)))</f>
        <v/>
      </c>
    </row>
    <row r="48" ht="22" customHeight="1">
      <c r="A48" s="9" t="n">
        <v>46349</v>
      </c>
      <c r="B48" s="10" t="n">
        <v>208</v>
      </c>
      <c r="C48" s="10" t="n">
        <v>220</v>
      </c>
      <c r="D48" s="10" t="n">
        <v>965</v>
      </c>
      <c r="E48" s="10" t="n">
        <v>1540</v>
      </c>
      <c r="F48" s="10" t="n">
        <v>7464</v>
      </c>
      <c r="G48" s="10" t="n">
        <v>575</v>
      </c>
      <c r="H48" s="10" t="n">
        <v>7</v>
      </c>
      <c r="I48" s="12">
        <f>IF($A48="","",MAX(C48-B48,0))</f>
        <v/>
      </c>
      <c r="J48" s="11">
        <f>IF($A48="","",IFERROR(B48/C48,0))</f>
        <v/>
      </c>
      <c r="K48" s="11">
        <f>IF($A48="","",IFERROR(D48/E48,0))</f>
        <v/>
      </c>
      <c r="L48" s="12">
        <f>IF($A48="","",IFERROR(F48/7,0))</f>
        <v/>
      </c>
      <c r="M48" s="12">
        <f>IF($A48="","",ROUND(IFERROR(G48/7,0),0))</f>
        <v/>
      </c>
      <c r="N48" s="11">
        <f>IF($A48="","",IFERROR(H48/C48,0))</f>
        <v/>
      </c>
      <c r="O48" s="11">
        <f>IF($A48="","",IFERROR(B48/C48,0))</f>
        <v/>
      </c>
      <c r="P48" s="11">
        <f>IF($A48="","",MAX(0,AVERAGE(J48,K48,1-N48)))</f>
        <v/>
      </c>
    </row>
    <row r="49" ht="22" customHeight="1">
      <c r="A49" s="9" t="n">
        <v>46356</v>
      </c>
      <c r="B49" s="10" t="n">
        <v>199</v>
      </c>
      <c r="C49" s="10" t="n">
        <v>220</v>
      </c>
      <c r="D49" s="10" t="n">
        <v>982</v>
      </c>
      <c r="E49" s="10" t="n">
        <v>1540</v>
      </c>
      <c r="F49" s="10" t="n">
        <v>7896</v>
      </c>
      <c r="G49" s="10" t="n">
        <v>558</v>
      </c>
      <c r="H49" s="10" t="n">
        <v>13</v>
      </c>
      <c r="I49" s="12">
        <f>IF($A49="","",MAX(C49-B49,0))</f>
        <v/>
      </c>
      <c r="J49" s="11">
        <f>IF($A49="","",IFERROR(B49/C49,0))</f>
        <v/>
      </c>
      <c r="K49" s="11">
        <f>IF($A49="","",IFERROR(D49/E49,0))</f>
        <v/>
      </c>
      <c r="L49" s="12">
        <f>IF($A49="","",IFERROR(F49/7,0))</f>
        <v/>
      </c>
      <c r="M49" s="12">
        <f>IF($A49="","",ROUND(IFERROR(G49/7,0),0))</f>
        <v/>
      </c>
      <c r="N49" s="11">
        <f>IF($A49="","",IFERROR(H49/C49,0))</f>
        <v/>
      </c>
      <c r="O49" s="11">
        <f>IF($A49="","",IFERROR(B49/C49,0))</f>
        <v/>
      </c>
      <c r="P49" s="11">
        <f>IF($A49="","",MAX(0,AVERAGE(J49,K49,1-N49)))</f>
        <v/>
      </c>
    </row>
    <row r="50" ht="22" customHeight="1">
      <c r="A50" s="9" t="n">
        <v>46363</v>
      </c>
      <c r="B50" s="10" t="n">
        <v>188</v>
      </c>
      <c r="C50" s="10" t="n">
        <v>220</v>
      </c>
      <c r="D50" s="10" t="n">
        <v>871</v>
      </c>
      <c r="E50" s="10" t="n">
        <v>1540</v>
      </c>
      <c r="F50" s="10" t="n">
        <v>6619</v>
      </c>
      <c r="G50" s="10" t="n">
        <v>669</v>
      </c>
      <c r="H50" s="10" t="n">
        <v>3</v>
      </c>
      <c r="I50" s="12">
        <f>IF($A50="","",MAX(C50-B50,0))</f>
        <v/>
      </c>
      <c r="J50" s="11">
        <f>IF($A50="","",IFERROR(B50/C50,0))</f>
        <v/>
      </c>
      <c r="K50" s="11">
        <f>IF($A50="","",IFERROR(D50/E50,0))</f>
        <v/>
      </c>
      <c r="L50" s="12">
        <f>IF($A50="","",IFERROR(F50/7,0))</f>
        <v/>
      </c>
      <c r="M50" s="12">
        <f>IF($A50="","",ROUND(IFERROR(G50/7,0),0))</f>
        <v/>
      </c>
      <c r="N50" s="11">
        <f>IF($A50="","",IFERROR(H50/C50,0))</f>
        <v/>
      </c>
      <c r="O50" s="11">
        <f>IF($A50="","",IFERROR(B50/C50,0))</f>
        <v/>
      </c>
      <c r="P50" s="11">
        <f>IF($A50="","",MAX(0,AVERAGE(J50,K50,1-N50)))</f>
        <v/>
      </c>
    </row>
    <row r="51" ht="22" customHeight="1">
      <c r="A51" s="9" t="n">
        <v>46370</v>
      </c>
      <c r="B51" s="10" t="n">
        <v>193</v>
      </c>
      <c r="C51" s="10" t="n">
        <v>220</v>
      </c>
      <c r="D51" s="10" t="n">
        <v>949</v>
      </c>
      <c r="E51" s="10" t="n">
        <v>1540</v>
      </c>
      <c r="F51" s="10" t="n">
        <v>6155</v>
      </c>
      <c r="G51" s="10" t="n">
        <v>591</v>
      </c>
      <c r="H51" s="10" t="n">
        <v>11</v>
      </c>
      <c r="I51" s="12">
        <f>IF($A51="","",MAX(C51-B51,0))</f>
        <v/>
      </c>
      <c r="J51" s="11">
        <f>IF($A51="","",IFERROR(B51/C51,0))</f>
        <v/>
      </c>
      <c r="K51" s="11">
        <f>IF($A51="","",IFERROR(D51/E51,0))</f>
        <v/>
      </c>
      <c r="L51" s="12">
        <f>IF($A51="","",IFERROR(F51/7,0))</f>
        <v/>
      </c>
      <c r="M51" s="12">
        <f>IF($A51="","",ROUND(IFERROR(G51/7,0),0))</f>
        <v/>
      </c>
      <c r="N51" s="11">
        <f>IF($A51="","",IFERROR(H51/C51,0))</f>
        <v/>
      </c>
      <c r="O51" s="11">
        <f>IF($A51="","",IFERROR(B51/C51,0))</f>
        <v/>
      </c>
      <c r="P51" s="11">
        <f>IF($A51="","",MAX(0,AVERAGE(J51,K51,1-N51)))</f>
        <v/>
      </c>
    </row>
    <row r="52" ht="22" customHeight="1">
      <c r="A52" s="9" t="n">
        <v>46377</v>
      </c>
      <c r="B52" s="10" t="n">
        <v>191</v>
      </c>
      <c r="C52" s="10" t="n">
        <v>220</v>
      </c>
      <c r="D52" s="10" t="n">
        <v>1044</v>
      </c>
      <c r="E52" s="10" t="n">
        <v>1540</v>
      </c>
      <c r="F52" s="10" t="n">
        <v>8693</v>
      </c>
      <c r="G52" s="10" t="n">
        <v>496</v>
      </c>
      <c r="H52" s="10" t="n">
        <v>5</v>
      </c>
      <c r="I52" s="12">
        <f>IF($A52="","",MAX(C52-B52,0))</f>
        <v/>
      </c>
      <c r="J52" s="11">
        <f>IF($A52="","",IFERROR(B52/C52,0))</f>
        <v/>
      </c>
      <c r="K52" s="11">
        <f>IF($A52="","",IFERROR(D52/E52,0))</f>
        <v/>
      </c>
      <c r="L52" s="12">
        <f>IF($A52="","",IFERROR(F52/7,0))</f>
        <v/>
      </c>
      <c r="M52" s="12">
        <f>IF($A52="","",ROUND(IFERROR(G52/7,0),0))</f>
        <v/>
      </c>
      <c r="N52" s="11">
        <f>IF($A52="","",IFERROR(H52/C52,0))</f>
        <v/>
      </c>
      <c r="O52" s="11">
        <f>IF($A52="","",IFERROR(B52/C52,0))</f>
        <v/>
      </c>
      <c r="P52" s="11">
        <f>IF($A52="","",MAX(0,AVERAGE(J52,K52,1-N52)))</f>
        <v/>
      </c>
    </row>
    <row r="53" ht="22" customHeight="1">
      <c r="A53" s="9" t="n">
        <v>46384</v>
      </c>
      <c r="B53" s="10" t="n">
        <v>191</v>
      </c>
      <c r="C53" s="10" t="n">
        <v>220</v>
      </c>
      <c r="D53" s="10" t="n">
        <v>885</v>
      </c>
      <c r="E53" s="10" t="n">
        <v>1540</v>
      </c>
      <c r="F53" s="10" t="n">
        <v>7164</v>
      </c>
      <c r="G53" s="10" t="n">
        <v>655</v>
      </c>
      <c r="H53" s="10" t="n">
        <v>4</v>
      </c>
      <c r="I53" s="12">
        <f>IF($A53="","",MAX(C53-B53,0))</f>
        <v/>
      </c>
      <c r="J53" s="11">
        <f>IF($A53="","",IFERROR(B53/C53,0))</f>
        <v/>
      </c>
      <c r="K53" s="11">
        <f>IF($A53="","",IFERROR(D53/E53,0))</f>
        <v/>
      </c>
      <c r="L53" s="12">
        <f>IF($A53="","",IFERROR(F53/7,0))</f>
        <v/>
      </c>
      <c r="M53" s="12">
        <f>IF($A53="","",ROUND(IFERROR(G53/7,0),0))</f>
        <v/>
      </c>
      <c r="N53" s="11">
        <f>IF($A53="","",IFERROR(H53/C53,0))</f>
        <v/>
      </c>
      <c r="O53" s="11">
        <f>IF($A53="","",IFERROR(B53/C53,0))</f>
        <v/>
      </c>
      <c r="P53" s="11">
        <f>IF($A53="","",MAX(0,AVERAGE(J53,K53,1-N53)))</f>
        <v/>
      </c>
    </row>
    <row r="54" ht="22" customHeight="1">
      <c r="A54" s="9" t="n">
        <v>46391</v>
      </c>
      <c r="B54" s="10" t="n">
        <v>189</v>
      </c>
      <c r="C54" s="10" t="n">
        <v>220</v>
      </c>
      <c r="D54" s="10" t="n">
        <v>965</v>
      </c>
      <c r="E54" s="10" t="n">
        <v>1540</v>
      </c>
      <c r="F54" s="10" t="n">
        <v>7679</v>
      </c>
      <c r="G54" s="10" t="n">
        <v>575</v>
      </c>
      <c r="H54" s="10" t="n">
        <v>6</v>
      </c>
      <c r="I54" s="12">
        <f>IF($A54="","",MAX(C54-B54,0))</f>
        <v/>
      </c>
      <c r="J54" s="11">
        <f>IF($A54="","",IFERROR(B54/C54,0))</f>
        <v/>
      </c>
      <c r="K54" s="11">
        <f>IF($A54="","",IFERROR(D54/E54,0))</f>
        <v/>
      </c>
      <c r="L54" s="12">
        <f>IF($A54="","",IFERROR(F54/7,0))</f>
        <v/>
      </c>
      <c r="M54" s="12">
        <f>IF($A54="","",ROUND(IFERROR(G54/7,0),0))</f>
        <v/>
      </c>
      <c r="N54" s="11">
        <f>IF($A54="","",IFERROR(H54/C54,0))</f>
        <v/>
      </c>
      <c r="O54" s="11">
        <f>IF($A54="","",IFERROR(B54/C54,0))</f>
        <v/>
      </c>
      <c r="P54" s="11">
        <f>IF($A54="","",MAX(0,AVERAGE(J54,K54,1-N54)))</f>
        <v/>
      </c>
    </row>
    <row r="55" ht="22" customHeight="1">
      <c r="A55" s="9" t="n">
        <v>46398</v>
      </c>
      <c r="B55" s="10" t="n">
        <v>193</v>
      </c>
      <c r="C55" s="10" t="n">
        <v>220</v>
      </c>
      <c r="D55" s="10" t="n">
        <v>1004</v>
      </c>
      <c r="E55" s="10" t="n">
        <v>1540</v>
      </c>
      <c r="F55" s="10" t="n">
        <v>5634</v>
      </c>
      <c r="G55" s="10" t="n">
        <v>536</v>
      </c>
      <c r="H55" s="10" t="n">
        <v>8</v>
      </c>
      <c r="I55" s="12">
        <f>IF($A55="","",MAX(C55-B55,0))</f>
        <v/>
      </c>
      <c r="J55" s="11">
        <f>IF($A55="","",IFERROR(B55/C55,0))</f>
        <v/>
      </c>
      <c r="K55" s="11">
        <f>IF($A55="","",IFERROR(D55/E55,0))</f>
        <v/>
      </c>
      <c r="L55" s="12">
        <f>IF($A55="","",IFERROR(F55/7,0))</f>
        <v/>
      </c>
      <c r="M55" s="12">
        <f>IF($A55="","",ROUND(IFERROR(G55/7,0),0))</f>
        <v/>
      </c>
      <c r="N55" s="11">
        <f>IF($A55="","",IFERROR(H55/C55,0))</f>
        <v/>
      </c>
      <c r="O55" s="11">
        <f>IF($A55="","",IFERROR(B55/C55,0))</f>
        <v/>
      </c>
      <c r="P55" s="11">
        <f>IF($A55="","",MAX(0,AVERAGE(J55,K55,1-N55)))</f>
        <v/>
      </c>
    </row>
    <row r="56" ht="22" customHeight="1">
      <c r="A56" s="9" t="n">
        <v>46405</v>
      </c>
      <c r="B56" s="10" t="n">
        <v>193</v>
      </c>
      <c r="C56" s="10" t="n">
        <v>220</v>
      </c>
      <c r="D56" s="10" t="n">
        <v>937</v>
      </c>
      <c r="E56" s="10" t="n">
        <v>1540</v>
      </c>
      <c r="F56" s="10" t="n">
        <v>4939</v>
      </c>
      <c r="G56" s="10" t="n">
        <v>603</v>
      </c>
      <c r="H56" s="10" t="n">
        <v>11</v>
      </c>
      <c r="I56" s="12">
        <f>IF($A56="","",MAX(C56-B56,0))</f>
        <v/>
      </c>
      <c r="J56" s="11">
        <f>IF($A56="","",IFERROR(B56/C56,0))</f>
        <v/>
      </c>
      <c r="K56" s="11">
        <f>IF($A56="","",IFERROR(D56/E56,0))</f>
        <v/>
      </c>
      <c r="L56" s="12">
        <f>IF($A56="","",IFERROR(F56/7,0))</f>
        <v/>
      </c>
      <c r="M56" s="12">
        <f>IF($A56="","",ROUND(IFERROR(G56/7,0),0))</f>
        <v/>
      </c>
      <c r="N56" s="11">
        <f>IF($A56="","",IFERROR(H56/C56,0))</f>
        <v/>
      </c>
      <c r="O56" s="11">
        <f>IF($A56="","",IFERROR(B56/C56,0))</f>
        <v/>
      </c>
      <c r="P56" s="11">
        <f>IF($A56="","",MAX(0,AVERAGE(J56,K56,1-N56)))</f>
        <v/>
      </c>
    </row>
    <row r="57" ht="22" customHeight="1">
      <c r="A57" s="9" t="n">
        <v>46412</v>
      </c>
      <c r="B57" s="10" t="n">
        <v>192</v>
      </c>
      <c r="C57" s="10" t="n">
        <v>220</v>
      </c>
      <c r="D57" s="10" t="n">
        <v>938</v>
      </c>
      <c r="E57" s="10" t="n">
        <v>1540</v>
      </c>
      <c r="F57" s="10" t="n">
        <v>8269</v>
      </c>
      <c r="G57" s="10" t="n">
        <v>602</v>
      </c>
      <c r="H57" s="10" t="n">
        <v>3</v>
      </c>
      <c r="I57" s="12">
        <f>IF($A57="","",MAX(C57-B57,0))</f>
        <v/>
      </c>
      <c r="J57" s="11">
        <f>IF($A57="","",IFERROR(B57/C57,0))</f>
        <v/>
      </c>
      <c r="K57" s="11">
        <f>IF($A57="","",IFERROR(D57/E57,0))</f>
        <v/>
      </c>
      <c r="L57" s="12">
        <f>IF($A57="","",IFERROR(F57/7,0))</f>
        <v/>
      </c>
      <c r="M57" s="12">
        <f>IF($A57="","",ROUND(IFERROR(G57/7,0),0))</f>
        <v/>
      </c>
      <c r="N57" s="11">
        <f>IF($A57="","",IFERROR(H57/C57,0))</f>
        <v/>
      </c>
      <c r="O57" s="11">
        <f>IF($A57="","",IFERROR(B57/C57,0))</f>
        <v/>
      </c>
      <c r="P57" s="11">
        <f>IF($A57="","",MAX(0,AVERAGE(J57,K57,1-N57)))</f>
        <v/>
      </c>
    </row>
    <row r="58" ht="22" customHeight="1">
      <c r="A58" s="9" t="n">
        <v>46419</v>
      </c>
      <c r="B58" s="10" t="n">
        <v>191</v>
      </c>
      <c r="C58" s="10" t="n">
        <v>220</v>
      </c>
      <c r="D58" s="10" t="n">
        <v>880</v>
      </c>
      <c r="E58" s="10" t="n">
        <v>1540</v>
      </c>
      <c r="F58" s="10" t="n">
        <v>7381</v>
      </c>
      <c r="G58" s="10" t="n">
        <v>660</v>
      </c>
      <c r="H58" s="10" t="n">
        <v>10</v>
      </c>
      <c r="I58" s="12">
        <f>IF($A58="","",MAX(C58-B58,0))</f>
        <v/>
      </c>
      <c r="J58" s="11">
        <f>IF($A58="","",IFERROR(B58/C58,0))</f>
        <v/>
      </c>
      <c r="K58" s="11">
        <f>IF($A58="","",IFERROR(D58/E58,0))</f>
        <v/>
      </c>
      <c r="L58" s="12">
        <f>IF($A58="","",IFERROR(F58/7,0))</f>
        <v/>
      </c>
      <c r="M58" s="12">
        <f>IF($A58="","",ROUND(IFERROR(G58/7,0),0))</f>
        <v/>
      </c>
      <c r="N58" s="11">
        <f>IF($A58="","",IFERROR(H58/C58,0))</f>
        <v/>
      </c>
      <c r="O58" s="11">
        <f>IF($A58="","",IFERROR(B58/C58,0))</f>
        <v/>
      </c>
      <c r="P58" s="11">
        <f>IF($A58="","",MAX(0,AVERAGE(J58,K58,1-N58)))</f>
        <v/>
      </c>
    </row>
    <row r="59" ht="22" customHeight="1">
      <c r="A59" s="9" t="n">
        <v>46426</v>
      </c>
      <c r="B59" s="10" t="n">
        <v>193</v>
      </c>
      <c r="C59" s="10" t="n">
        <v>220</v>
      </c>
      <c r="D59" s="10" t="n">
        <v>975</v>
      </c>
      <c r="E59" s="10" t="n">
        <v>1540</v>
      </c>
      <c r="F59" s="10" t="n">
        <v>7990</v>
      </c>
      <c r="G59" s="10" t="n">
        <v>565</v>
      </c>
      <c r="H59" s="10" t="n">
        <v>10</v>
      </c>
      <c r="I59" s="12">
        <f>IF($A59="","",MAX(C59-B59,0))</f>
        <v/>
      </c>
      <c r="J59" s="11">
        <f>IF($A59="","",IFERROR(B59/C59,0))</f>
        <v/>
      </c>
      <c r="K59" s="11">
        <f>IF($A59="","",IFERROR(D59/E59,0))</f>
        <v/>
      </c>
      <c r="L59" s="12">
        <f>IF($A59="","",IFERROR(F59/7,0))</f>
        <v/>
      </c>
      <c r="M59" s="12">
        <f>IF($A59="","",ROUND(IFERROR(G59/7,0),0))</f>
        <v/>
      </c>
      <c r="N59" s="11">
        <f>IF($A59="","",IFERROR(H59/C59,0))</f>
        <v/>
      </c>
      <c r="O59" s="11">
        <f>IF($A59="","",IFERROR(B59/C59,0))</f>
        <v/>
      </c>
      <c r="P59" s="11">
        <f>IF($A59="","",MAX(0,AVERAGE(J59,K59,1-N59)))</f>
        <v/>
      </c>
    </row>
    <row r="60" ht="22" customHeight="1">
      <c r="A60" s="9" t="n">
        <v>46433</v>
      </c>
      <c r="B60" s="10" t="n">
        <v>197</v>
      </c>
      <c r="C60" s="10" t="n">
        <v>220</v>
      </c>
      <c r="D60" s="10" t="n">
        <v>1025</v>
      </c>
      <c r="E60" s="10" t="n">
        <v>1540</v>
      </c>
      <c r="F60" s="10" t="n">
        <v>7834</v>
      </c>
      <c r="G60" s="10" t="n">
        <v>515</v>
      </c>
      <c r="H60" s="10" t="n">
        <v>3</v>
      </c>
      <c r="I60" s="12">
        <f>IF($A60="","",MAX(C60-B60,0))</f>
        <v/>
      </c>
      <c r="J60" s="11">
        <f>IF($A60="","",IFERROR(B60/C60,0))</f>
        <v/>
      </c>
      <c r="K60" s="11">
        <f>IF($A60="","",IFERROR(D60/E60,0))</f>
        <v/>
      </c>
      <c r="L60" s="12">
        <f>IF($A60="","",IFERROR(F60/7,0))</f>
        <v/>
      </c>
      <c r="M60" s="12">
        <f>IF($A60="","",ROUND(IFERROR(G60/7,0),0))</f>
        <v/>
      </c>
      <c r="N60" s="11">
        <f>IF($A60="","",IFERROR(H60/C60,0))</f>
        <v/>
      </c>
      <c r="O60" s="11">
        <f>IF($A60="","",IFERROR(B60/C60,0))</f>
        <v/>
      </c>
      <c r="P60" s="11">
        <f>IF($A60="","",MAX(0,AVERAGE(J60,K60,1-N60)))</f>
        <v/>
      </c>
    </row>
    <row r="61" ht="22" customHeight="1">
      <c r="A61" s="9" t="n">
        <v>46440</v>
      </c>
      <c r="B61" s="10" t="n">
        <v>198</v>
      </c>
      <c r="C61" s="10" t="n">
        <v>220</v>
      </c>
      <c r="D61" s="10" t="n">
        <v>982</v>
      </c>
      <c r="E61" s="10" t="n">
        <v>1540</v>
      </c>
      <c r="F61" s="10" t="n">
        <v>6871</v>
      </c>
      <c r="G61" s="10" t="n">
        <v>558</v>
      </c>
      <c r="H61" s="10" t="n">
        <v>13</v>
      </c>
      <c r="I61" s="12">
        <f>IF($A61="","",MAX(C61-B61,0))</f>
        <v/>
      </c>
      <c r="J61" s="11">
        <f>IF($A61="","",IFERROR(B61/C61,0))</f>
        <v/>
      </c>
      <c r="K61" s="11">
        <f>IF($A61="","",IFERROR(D61/E61,0))</f>
        <v/>
      </c>
      <c r="L61" s="12">
        <f>IF($A61="","",IFERROR(F61/7,0))</f>
        <v/>
      </c>
      <c r="M61" s="12">
        <f>IF($A61="","",ROUND(IFERROR(G61/7,0),0))</f>
        <v/>
      </c>
      <c r="N61" s="11">
        <f>IF($A61="","",IFERROR(H61/C61,0))</f>
        <v/>
      </c>
      <c r="O61" s="11">
        <f>IF($A61="","",IFERROR(B61/C61,0))</f>
        <v/>
      </c>
      <c r="P61" s="11">
        <f>IF($A61="","",MAX(0,AVERAGE(J61,K61,1-N61)))</f>
        <v/>
      </c>
    </row>
    <row r="62" ht="22" customHeight="1">
      <c r="A62" s="9" t="n">
        <v>46447</v>
      </c>
      <c r="B62" s="10" t="n">
        <v>207</v>
      </c>
      <c r="C62" s="10" t="n">
        <v>220</v>
      </c>
      <c r="D62" s="10" t="n">
        <v>1003</v>
      </c>
      <c r="E62" s="10" t="n">
        <v>1540</v>
      </c>
      <c r="F62" s="10" t="n">
        <v>7369</v>
      </c>
      <c r="G62" s="10" t="n">
        <v>537</v>
      </c>
      <c r="H62" s="10" t="n">
        <v>14</v>
      </c>
      <c r="I62" s="12">
        <f>IF($A62="","",MAX(C62-B62,0))</f>
        <v/>
      </c>
      <c r="J62" s="11">
        <f>IF($A62="","",IFERROR(B62/C62,0))</f>
        <v/>
      </c>
      <c r="K62" s="11">
        <f>IF($A62="","",IFERROR(D62/E62,0))</f>
        <v/>
      </c>
      <c r="L62" s="12">
        <f>IF($A62="","",IFERROR(F62/7,0))</f>
        <v/>
      </c>
      <c r="M62" s="12">
        <f>IF($A62="","",ROUND(IFERROR(G62/7,0),0))</f>
        <v/>
      </c>
      <c r="N62" s="11">
        <f>IF($A62="","",IFERROR(H62/C62,0))</f>
        <v/>
      </c>
      <c r="O62" s="11">
        <f>IF($A62="","",IFERROR(B62/C62,0))</f>
        <v/>
      </c>
      <c r="P62" s="11">
        <f>IF($A62="","",MAX(0,AVERAGE(J62,K62,1-N62)))</f>
        <v/>
      </c>
    </row>
    <row r="63" ht="22" customHeight="1">
      <c r="A63" s="9" t="n">
        <v>46454</v>
      </c>
      <c r="B63" s="10" t="n">
        <v>201</v>
      </c>
      <c r="C63" s="10" t="n">
        <v>220</v>
      </c>
      <c r="D63" s="10" t="n">
        <v>988</v>
      </c>
      <c r="E63" s="10" t="n">
        <v>1540</v>
      </c>
      <c r="F63" s="10" t="n">
        <v>5447</v>
      </c>
      <c r="G63" s="10" t="n">
        <v>552</v>
      </c>
      <c r="H63" s="10" t="n">
        <v>12</v>
      </c>
      <c r="I63" s="12">
        <f>IF($A63="","",MAX(C63-B63,0))</f>
        <v/>
      </c>
      <c r="J63" s="11">
        <f>IF($A63="","",IFERROR(B63/C63,0))</f>
        <v/>
      </c>
      <c r="K63" s="11">
        <f>IF($A63="","",IFERROR(D63/E63,0))</f>
        <v/>
      </c>
      <c r="L63" s="12">
        <f>IF($A63="","",IFERROR(F63/7,0))</f>
        <v/>
      </c>
      <c r="M63" s="12">
        <f>IF($A63="","",ROUND(IFERROR(G63/7,0),0))</f>
        <v/>
      </c>
      <c r="N63" s="11">
        <f>IF($A63="","",IFERROR(H63/C63,0))</f>
        <v/>
      </c>
      <c r="O63" s="11">
        <f>IF($A63="","",IFERROR(B63/C63,0))</f>
        <v/>
      </c>
      <c r="P63" s="11">
        <f>IF($A63="","",MAX(0,AVERAGE(J63,K63,1-N63)))</f>
        <v/>
      </c>
    </row>
    <row r="64" ht="22" customHeight="1">
      <c r="A64" s="9" t="n">
        <v>46461</v>
      </c>
      <c r="B64" s="10" t="n">
        <v>201</v>
      </c>
      <c r="C64" s="10" t="n">
        <v>220</v>
      </c>
      <c r="D64" s="10" t="n">
        <v>1004</v>
      </c>
      <c r="E64" s="10" t="n">
        <v>1540</v>
      </c>
      <c r="F64" s="10" t="n">
        <v>6761</v>
      </c>
      <c r="G64" s="10" t="n">
        <v>536</v>
      </c>
      <c r="H64" s="10" t="n">
        <v>4</v>
      </c>
      <c r="I64" s="12">
        <f>IF($A64="","",MAX(C64-B64,0))</f>
        <v/>
      </c>
      <c r="J64" s="11">
        <f>IF($A64="","",IFERROR(B64/C64,0))</f>
        <v/>
      </c>
      <c r="K64" s="11">
        <f>IF($A64="","",IFERROR(D64/E64,0))</f>
        <v/>
      </c>
      <c r="L64" s="12">
        <f>IF($A64="","",IFERROR(F64/7,0))</f>
        <v/>
      </c>
      <c r="M64" s="12">
        <f>IF($A64="","",ROUND(IFERROR(G64/7,0),0))</f>
        <v/>
      </c>
      <c r="N64" s="11">
        <f>IF($A64="","",IFERROR(H64/C64,0))</f>
        <v/>
      </c>
      <c r="O64" s="11">
        <f>IF($A64="","",IFERROR(B64/C64,0))</f>
        <v/>
      </c>
      <c r="P64" s="11">
        <f>IF($A64="","",MAX(0,AVERAGE(J64,K64,1-N64)))</f>
        <v/>
      </c>
    </row>
    <row r="65" ht="22" customHeight="1">
      <c r="A65" s="9" t="n">
        <v>46468</v>
      </c>
      <c r="B65" s="10" t="n">
        <v>203</v>
      </c>
      <c r="C65" s="10" t="n">
        <v>220</v>
      </c>
      <c r="D65" s="10" t="n">
        <v>936</v>
      </c>
      <c r="E65" s="10" t="n">
        <v>1540</v>
      </c>
      <c r="F65" s="10" t="n">
        <v>4680</v>
      </c>
      <c r="G65" s="10" t="n">
        <v>604</v>
      </c>
      <c r="H65" s="10" t="n">
        <v>1</v>
      </c>
      <c r="I65" s="12">
        <f>IF($A65="","",MAX(C65-B65,0))</f>
        <v/>
      </c>
      <c r="J65" s="11">
        <f>IF($A65="","",IFERROR(B65/C65,0))</f>
        <v/>
      </c>
      <c r="K65" s="11">
        <f>IF($A65="","",IFERROR(D65/E65,0))</f>
        <v/>
      </c>
      <c r="L65" s="12">
        <f>IF($A65="","",IFERROR(F65/7,0))</f>
        <v/>
      </c>
      <c r="M65" s="12">
        <f>IF($A65="","",ROUND(IFERROR(G65/7,0),0))</f>
        <v/>
      </c>
      <c r="N65" s="11">
        <f>IF($A65="","",IFERROR(H65/C65,0))</f>
        <v/>
      </c>
      <c r="O65" s="11">
        <f>IF($A65="","",IFERROR(B65/C65,0))</f>
        <v/>
      </c>
      <c r="P65" s="11">
        <f>IF($A65="","",MAX(0,AVERAGE(J65,K65,1-N65)))</f>
        <v/>
      </c>
    </row>
    <row r="66" ht="22" customHeight="1">
      <c r="A66" s="9" t="n">
        <v>46475</v>
      </c>
      <c r="B66" s="10" t="n">
        <v>207</v>
      </c>
      <c r="C66" s="10" t="n">
        <v>220</v>
      </c>
      <c r="D66" s="10" t="n">
        <v>1086</v>
      </c>
      <c r="E66" s="10" t="n">
        <v>1540</v>
      </c>
      <c r="F66" s="10" t="n">
        <v>8405</v>
      </c>
      <c r="G66" s="10" t="n">
        <v>454</v>
      </c>
      <c r="H66" s="10" t="n">
        <v>8</v>
      </c>
      <c r="I66" s="12">
        <f>IF($A66="","",MAX(C66-B66,0))</f>
        <v/>
      </c>
      <c r="J66" s="11">
        <f>IF($A66="","",IFERROR(B66/C66,0))</f>
        <v/>
      </c>
      <c r="K66" s="11">
        <f>IF($A66="","",IFERROR(D66/E66,0))</f>
        <v/>
      </c>
      <c r="L66" s="12">
        <f>IF($A66="","",IFERROR(F66/7,0))</f>
        <v/>
      </c>
      <c r="M66" s="12">
        <f>IF($A66="","",ROUND(IFERROR(G66/7,0),0))</f>
        <v/>
      </c>
      <c r="N66" s="11">
        <f>IF($A66="","",IFERROR(H66/C66,0))</f>
        <v/>
      </c>
      <c r="O66" s="11">
        <f>IF($A66="","",IFERROR(B66/C66,0))</f>
        <v/>
      </c>
      <c r="P66" s="11">
        <f>IF($A66="","",MAX(0,AVERAGE(J66,K66,1-N66)))</f>
        <v/>
      </c>
    </row>
    <row r="67" ht="22" customHeight="1">
      <c r="A67" s="9" t="n">
        <v>46482</v>
      </c>
      <c r="B67" s="10" t="n">
        <v>204</v>
      </c>
      <c r="C67" s="10" t="n">
        <v>220</v>
      </c>
      <c r="D67" s="10" t="n">
        <v>1039</v>
      </c>
      <c r="E67" s="10" t="n">
        <v>1540</v>
      </c>
      <c r="F67" s="10" t="n">
        <v>6498</v>
      </c>
      <c r="G67" s="10" t="n">
        <v>501</v>
      </c>
      <c r="H67" s="10" t="n">
        <v>9</v>
      </c>
      <c r="I67" s="12">
        <f>IF($A67="","",MAX(C67-B67,0))</f>
        <v/>
      </c>
      <c r="J67" s="11">
        <f>IF($A67="","",IFERROR(B67/C67,0))</f>
        <v/>
      </c>
      <c r="K67" s="11">
        <f>IF($A67="","",IFERROR(D67/E67,0))</f>
        <v/>
      </c>
      <c r="L67" s="12">
        <f>IF($A67="","",IFERROR(F67/7,0))</f>
        <v/>
      </c>
      <c r="M67" s="12">
        <f>IF($A67="","",ROUND(IFERROR(G67/7,0),0))</f>
        <v/>
      </c>
      <c r="N67" s="11">
        <f>IF($A67="","",IFERROR(H67/C67,0))</f>
        <v/>
      </c>
      <c r="O67" s="11">
        <f>IF($A67="","",IFERROR(B67/C67,0))</f>
        <v/>
      </c>
      <c r="P67" s="11">
        <f>IF($A67="","",MAX(0,AVERAGE(J67,K67,1-N67)))</f>
        <v/>
      </c>
    </row>
    <row r="68" ht="22" customHeight="1">
      <c r="A68" s="9" t="n">
        <v>46489</v>
      </c>
      <c r="B68" s="10" t="n">
        <v>205</v>
      </c>
      <c r="C68" s="10" t="n">
        <v>220</v>
      </c>
      <c r="D68" s="10" t="n">
        <v>1000</v>
      </c>
      <c r="E68" s="10" t="n">
        <v>1540</v>
      </c>
      <c r="F68" s="10" t="n">
        <v>7197</v>
      </c>
      <c r="G68" s="10" t="n">
        <v>540</v>
      </c>
      <c r="H68" s="10" t="n">
        <v>3</v>
      </c>
      <c r="I68" s="12">
        <f>IF($A68="","",MAX(C68-B68,0))</f>
        <v/>
      </c>
      <c r="J68" s="11">
        <f>IF($A68="","",IFERROR(B68/C68,0))</f>
        <v/>
      </c>
      <c r="K68" s="11">
        <f>IF($A68="","",IFERROR(D68/E68,0))</f>
        <v/>
      </c>
      <c r="L68" s="12">
        <f>IF($A68="","",IFERROR(F68/7,0))</f>
        <v/>
      </c>
      <c r="M68" s="12">
        <f>IF($A68="","",ROUND(IFERROR(G68/7,0),0))</f>
        <v/>
      </c>
      <c r="N68" s="11">
        <f>IF($A68="","",IFERROR(H68/C68,0))</f>
        <v/>
      </c>
      <c r="O68" s="11">
        <f>IF($A68="","",IFERROR(B68/C68,0))</f>
        <v/>
      </c>
      <c r="P68" s="11">
        <f>IF($A68="","",MAX(0,AVERAGE(J68,K68,1-N68)))</f>
        <v/>
      </c>
    </row>
    <row r="69" ht="22" customHeight="1">
      <c r="A69" s="9" t="n">
        <v>46496</v>
      </c>
      <c r="B69" s="10" t="n">
        <v>209</v>
      </c>
      <c r="C69" s="10" t="n">
        <v>220</v>
      </c>
      <c r="D69" s="10" t="n">
        <v>1174</v>
      </c>
      <c r="E69" s="10" t="n">
        <v>1540</v>
      </c>
      <c r="F69" s="10" t="n">
        <v>7097</v>
      </c>
      <c r="G69" s="10" t="n">
        <v>366</v>
      </c>
      <c r="H69" s="10" t="n">
        <v>10</v>
      </c>
      <c r="I69" s="12">
        <f>IF($A69="","",MAX(C69-B69,0))</f>
        <v/>
      </c>
      <c r="J69" s="11">
        <f>IF($A69="","",IFERROR(B69/C69,0))</f>
        <v/>
      </c>
      <c r="K69" s="11">
        <f>IF($A69="","",IFERROR(D69/E69,0))</f>
        <v/>
      </c>
      <c r="L69" s="12">
        <f>IF($A69="","",IFERROR(F69/7,0))</f>
        <v/>
      </c>
      <c r="M69" s="12">
        <f>IF($A69="","",ROUND(IFERROR(G69/7,0),0))</f>
        <v/>
      </c>
      <c r="N69" s="11">
        <f>IF($A69="","",IFERROR(H69/C69,0))</f>
        <v/>
      </c>
      <c r="O69" s="11">
        <f>IF($A69="","",IFERROR(B69/C69,0))</f>
        <v/>
      </c>
      <c r="P69" s="11">
        <f>IF($A69="","",MAX(0,AVERAGE(J69,K69,1-N69)))</f>
        <v/>
      </c>
    </row>
    <row r="70" ht="22" customHeight="1">
      <c r="A70" s="9" t="n">
        <v>46503</v>
      </c>
      <c r="B70" s="10" t="n">
        <v>212</v>
      </c>
      <c r="C70" s="10" t="n">
        <v>220</v>
      </c>
      <c r="D70" s="10" t="n">
        <v>968</v>
      </c>
      <c r="E70" s="10" t="n">
        <v>1540</v>
      </c>
      <c r="F70" s="10" t="n">
        <v>8279</v>
      </c>
      <c r="G70" s="10" t="n">
        <v>572</v>
      </c>
      <c r="H70" s="10" t="n">
        <v>8</v>
      </c>
      <c r="I70" s="12">
        <f>IF($A70="","",MAX(C70-B70,0))</f>
        <v/>
      </c>
      <c r="J70" s="11">
        <f>IF($A70="","",IFERROR(B70/C70,0))</f>
        <v/>
      </c>
      <c r="K70" s="11">
        <f>IF($A70="","",IFERROR(D70/E70,0))</f>
        <v/>
      </c>
      <c r="L70" s="12">
        <f>IF($A70="","",IFERROR(F70/7,0))</f>
        <v/>
      </c>
      <c r="M70" s="12">
        <f>IF($A70="","",ROUND(IFERROR(G70/7,0),0))</f>
        <v/>
      </c>
      <c r="N70" s="11">
        <f>IF($A70="","",IFERROR(H70/C70,0))</f>
        <v/>
      </c>
      <c r="O70" s="11">
        <f>IF($A70="","",IFERROR(B70/C70,0))</f>
        <v/>
      </c>
      <c r="P70" s="11">
        <f>IF($A70="","",MAX(0,AVERAGE(J70,K70,1-N70)))</f>
        <v/>
      </c>
    </row>
    <row r="71" ht="22" customHeight="1">
      <c r="A71" s="9" t="n">
        <v>46510</v>
      </c>
      <c r="B71" s="10" t="n">
        <v>212</v>
      </c>
      <c r="C71" s="10" t="n">
        <v>220</v>
      </c>
      <c r="D71" s="10" t="n">
        <v>1103</v>
      </c>
      <c r="E71" s="10" t="n">
        <v>1540</v>
      </c>
      <c r="F71" s="10" t="n">
        <v>7979</v>
      </c>
      <c r="G71" s="10" t="n">
        <v>437</v>
      </c>
      <c r="H71" s="10" t="n">
        <v>15</v>
      </c>
      <c r="I71" s="12">
        <f>IF($A71="","",MAX(C71-B71,0))</f>
        <v/>
      </c>
      <c r="J71" s="11">
        <f>IF($A71="","",IFERROR(B71/C71,0))</f>
        <v/>
      </c>
      <c r="K71" s="11">
        <f>IF($A71="","",IFERROR(D71/E71,0))</f>
        <v/>
      </c>
      <c r="L71" s="12">
        <f>IF($A71="","",IFERROR(F71/7,0))</f>
        <v/>
      </c>
      <c r="M71" s="12">
        <f>IF($A71="","",ROUND(IFERROR(G71/7,0),0))</f>
        <v/>
      </c>
      <c r="N71" s="11">
        <f>IF($A71="","",IFERROR(H71/C71,0))</f>
        <v/>
      </c>
      <c r="O71" s="11">
        <f>IF($A71="","",IFERROR(B71/C71,0))</f>
        <v/>
      </c>
      <c r="P71" s="11">
        <f>IF($A71="","",MAX(0,AVERAGE(J71,K71,1-N71)))</f>
        <v/>
      </c>
    </row>
    <row r="72" ht="22" customHeight="1">
      <c r="A72" s="9" t="n"/>
      <c r="B72" s="10" t="n"/>
      <c r="C72" s="10" t="n"/>
      <c r="D72" s="10" t="n"/>
      <c r="E72" s="10" t="n"/>
      <c r="F72" s="10" t="n"/>
      <c r="G72" s="10" t="n"/>
      <c r="H72" s="10" t="n"/>
      <c r="I72" s="12">
        <f>IF($A72="","",MAX(C72-B72,0))</f>
        <v/>
      </c>
      <c r="J72" s="11">
        <f>IF($A72="","",IFERROR(B72/C72,0))</f>
        <v/>
      </c>
      <c r="K72" s="11">
        <f>IF($A72="","",IFERROR(D72/E72,0))</f>
        <v/>
      </c>
      <c r="L72" s="12">
        <f>IF($A72="","",IFERROR(F72/7,0))</f>
        <v/>
      </c>
      <c r="M72" s="12">
        <f>IF($A72="","",ROUND(IFERROR(G72/7,0),0))</f>
        <v/>
      </c>
      <c r="N72" s="11">
        <f>IF($A72="","",IFERROR(H72/C72,0))</f>
        <v/>
      </c>
      <c r="O72" s="11">
        <f>IF($A72="","",IFERROR(B72/C72,0))</f>
        <v/>
      </c>
      <c r="P72" s="11">
        <f>IF($A72="","",MAX(0,AVERAGE(J72,K72,1-N72)))</f>
        <v/>
      </c>
    </row>
    <row r="73" ht="22" customHeight="1">
      <c r="A73" s="9" t="n"/>
      <c r="B73" s="10" t="n"/>
      <c r="C73" s="10" t="n"/>
      <c r="D73" s="10" t="n"/>
      <c r="E73" s="10" t="n"/>
      <c r="F73" s="10" t="n"/>
      <c r="G73" s="10" t="n"/>
      <c r="H73" s="10" t="n"/>
      <c r="I73" s="12">
        <f>IF($A73="","",MAX(C73-B73,0))</f>
        <v/>
      </c>
      <c r="J73" s="11">
        <f>IF($A73="","",IFERROR(B73/C73,0))</f>
        <v/>
      </c>
      <c r="K73" s="11">
        <f>IF($A73="","",IFERROR(D73/E73,0))</f>
        <v/>
      </c>
      <c r="L73" s="12">
        <f>IF($A73="","",IFERROR(F73/7,0))</f>
        <v/>
      </c>
      <c r="M73" s="12">
        <f>IF($A73="","",ROUND(IFERROR(G73/7,0),0))</f>
        <v/>
      </c>
      <c r="N73" s="11">
        <f>IF($A73="","",IFERROR(H73/C73,0))</f>
        <v/>
      </c>
      <c r="O73" s="11">
        <f>IF($A73="","",IFERROR(B73/C73,0))</f>
        <v/>
      </c>
      <c r="P73" s="11">
        <f>IF($A73="","",MAX(0,AVERAGE(J73,K73,1-N73)))</f>
        <v/>
      </c>
    </row>
    <row r="74" ht="22" customHeight="1">
      <c r="A74" s="9" t="n"/>
      <c r="B74" s="10" t="n"/>
      <c r="C74" s="10" t="n"/>
      <c r="D74" s="10" t="n"/>
      <c r="E74" s="10" t="n"/>
      <c r="F74" s="10" t="n"/>
      <c r="G74" s="10" t="n"/>
      <c r="H74" s="10" t="n"/>
      <c r="I74" s="12">
        <f>IF($A74="","",MAX(C74-B74,0))</f>
        <v/>
      </c>
      <c r="J74" s="11">
        <f>IF($A74="","",IFERROR(B74/C74,0))</f>
        <v/>
      </c>
      <c r="K74" s="11">
        <f>IF($A74="","",IFERROR(D74/E74,0))</f>
        <v/>
      </c>
      <c r="L74" s="12">
        <f>IF($A74="","",IFERROR(F74/7,0))</f>
        <v/>
      </c>
      <c r="M74" s="12">
        <f>IF($A74="","",ROUND(IFERROR(G74/7,0),0))</f>
        <v/>
      </c>
      <c r="N74" s="11">
        <f>IF($A74="","",IFERROR(H74/C74,0))</f>
        <v/>
      </c>
      <c r="O74" s="11">
        <f>IF($A74="","",IFERROR(B74/C74,0))</f>
        <v/>
      </c>
      <c r="P74" s="11">
        <f>IF($A74="","",MAX(0,AVERAGE(J74,K74,1-N74)))</f>
        <v/>
      </c>
    </row>
    <row r="75" ht="22" customHeight="1">
      <c r="A75" s="9" t="n"/>
      <c r="B75" s="10" t="n"/>
      <c r="C75" s="10" t="n"/>
      <c r="D75" s="10" t="n"/>
      <c r="E75" s="10" t="n"/>
      <c r="F75" s="10" t="n"/>
      <c r="G75" s="10" t="n"/>
      <c r="H75" s="10" t="n"/>
      <c r="I75" s="12">
        <f>IF($A75="","",MAX(C75-B75,0))</f>
        <v/>
      </c>
      <c r="J75" s="11">
        <f>IF($A75="","",IFERROR(B75/C75,0))</f>
        <v/>
      </c>
      <c r="K75" s="11">
        <f>IF($A75="","",IFERROR(D75/E75,0))</f>
        <v/>
      </c>
      <c r="L75" s="12">
        <f>IF($A75="","",IFERROR(F75/7,0))</f>
        <v/>
      </c>
      <c r="M75" s="12">
        <f>IF($A75="","",ROUND(IFERROR(G75/7,0),0))</f>
        <v/>
      </c>
      <c r="N75" s="11">
        <f>IF($A75="","",IFERROR(H75/C75,0))</f>
        <v/>
      </c>
      <c r="O75" s="11">
        <f>IF($A75="","",IFERROR(B75/C75,0))</f>
        <v/>
      </c>
      <c r="P75" s="11">
        <f>IF($A75="","",MAX(0,AVERAGE(J75,K75,1-N75)))</f>
        <v/>
      </c>
    </row>
    <row r="76" ht="22" customHeight="1">
      <c r="A76" s="9" t="n"/>
      <c r="B76" s="10" t="n"/>
      <c r="C76" s="10" t="n"/>
      <c r="D76" s="10" t="n"/>
      <c r="E76" s="10" t="n"/>
      <c r="F76" s="10" t="n"/>
      <c r="G76" s="10" t="n"/>
      <c r="H76" s="10" t="n"/>
      <c r="I76" s="12">
        <f>IF($A76="","",MAX(C76-B76,0))</f>
        <v/>
      </c>
      <c r="J76" s="11">
        <f>IF($A76="","",IFERROR(B76/C76,0))</f>
        <v/>
      </c>
      <c r="K76" s="11">
        <f>IF($A76="","",IFERROR(D76/E76,0))</f>
        <v/>
      </c>
      <c r="L76" s="12">
        <f>IF($A76="","",IFERROR(F76/7,0))</f>
        <v/>
      </c>
      <c r="M76" s="12">
        <f>IF($A76="","",ROUND(IFERROR(G76/7,0),0))</f>
        <v/>
      </c>
      <c r="N76" s="11">
        <f>IF($A76="","",IFERROR(H76/C76,0))</f>
        <v/>
      </c>
      <c r="O76" s="11">
        <f>IF($A76="","",IFERROR(B76/C76,0))</f>
        <v/>
      </c>
      <c r="P76" s="11">
        <f>IF($A76="","",MAX(0,AVERAGE(J76,K76,1-N76)))</f>
        <v/>
      </c>
    </row>
    <row r="77" ht="22" customHeight="1">
      <c r="A77" s="9" t="n"/>
      <c r="B77" s="10" t="n"/>
      <c r="C77" s="10" t="n"/>
      <c r="D77" s="10" t="n"/>
      <c r="E77" s="10" t="n"/>
      <c r="F77" s="10" t="n"/>
      <c r="G77" s="10" t="n"/>
      <c r="H77" s="10" t="n"/>
      <c r="I77" s="12">
        <f>IF($A77="","",MAX(C77-B77,0))</f>
        <v/>
      </c>
      <c r="J77" s="11">
        <f>IF($A77="","",IFERROR(B77/C77,0))</f>
        <v/>
      </c>
      <c r="K77" s="11">
        <f>IF($A77="","",IFERROR(D77/E77,0))</f>
        <v/>
      </c>
      <c r="L77" s="12">
        <f>IF($A77="","",IFERROR(F77/7,0))</f>
        <v/>
      </c>
      <c r="M77" s="12">
        <f>IF($A77="","",ROUND(IFERROR(G77/7,0),0))</f>
        <v/>
      </c>
      <c r="N77" s="11">
        <f>IF($A77="","",IFERROR(H77/C77,0))</f>
        <v/>
      </c>
      <c r="O77" s="11">
        <f>IF($A77="","",IFERROR(B77/C77,0))</f>
        <v/>
      </c>
      <c r="P77" s="11">
        <f>IF($A77="","",MAX(0,AVERAGE(J77,K77,1-N77)))</f>
        <v/>
      </c>
    </row>
    <row r="78" ht="22" customHeight="1">
      <c r="A78" s="9" t="n"/>
      <c r="B78" s="10" t="n"/>
      <c r="C78" s="10" t="n"/>
      <c r="D78" s="10" t="n"/>
      <c r="E78" s="10" t="n"/>
      <c r="F78" s="10" t="n"/>
      <c r="G78" s="10" t="n"/>
      <c r="H78" s="10" t="n"/>
      <c r="I78" s="12">
        <f>IF($A78="","",MAX(C78-B78,0))</f>
        <v/>
      </c>
      <c r="J78" s="11">
        <f>IF($A78="","",IFERROR(B78/C78,0))</f>
        <v/>
      </c>
      <c r="K78" s="11">
        <f>IF($A78="","",IFERROR(D78/E78,0))</f>
        <v/>
      </c>
      <c r="L78" s="12">
        <f>IF($A78="","",IFERROR(F78/7,0))</f>
        <v/>
      </c>
      <c r="M78" s="12">
        <f>IF($A78="","",ROUND(IFERROR(G78/7,0),0))</f>
        <v/>
      </c>
      <c r="N78" s="11">
        <f>IF($A78="","",IFERROR(H78/C78,0))</f>
        <v/>
      </c>
      <c r="O78" s="11">
        <f>IF($A78="","",IFERROR(B78/C78,0))</f>
        <v/>
      </c>
      <c r="P78" s="11">
        <f>IF($A78="","",MAX(0,AVERAGE(J78,K78,1-N78)))</f>
        <v/>
      </c>
    </row>
    <row r="79" ht="22" customHeight="1">
      <c r="A79" s="9" t="n"/>
      <c r="B79" s="10" t="n"/>
      <c r="C79" s="10" t="n"/>
      <c r="D79" s="10" t="n"/>
      <c r="E79" s="10" t="n"/>
      <c r="F79" s="10" t="n"/>
      <c r="G79" s="10" t="n"/>
      <c r="H79" s="10" t="n"/>
      <c r="I79" s="12">
        <f>IF($A79="","",MAX(C79-B79,0))</f>
        <v/>
      </c>
      <c r="J79" s="11">
        <f>IF($A79="","",IFERROR(B79/C79,0))</f>
        <v/>
      </c>
      <c r="K79" s="11">
        <f>IF($A79="","",IFERROR(D79/E79,0))</f>
        <v/>
      </c>
      <c r="L79" s="12">
        <f>IF($A79="","",IFERROR(F79/7,0))</f>
        <v/>
      </c>
      <c r="M79" s="12">
        <f>IF($A79="","",ROUND(IFERROR(G79/7,0),0))</f>
        <v/>
      </c>
      <c r="N79" s="11">
        <f>IF($A79="","",IFERROR(H79/C79,0))</f>
        <v/>
      </c>
      <c r="O79" s="11">
        <f>IF($A79="","",IFERROR(B79/C79,0))</f>
        <v/>
      </c>
      <c r="P79" s="11">
        <f>IF($A79="","",MAX(0,AVERAGE(J79,K79,1-N79)))</f>
        <v/>
      </c>
    </row>
    <row r="80" ht="22" customHeight="1">
      <c r="A80" s="9" t="n"/>
      <c r="B80" s="10" t="n"/>
      <c r="C80" s="10" t="n"/>
      <c r="D80" s="10" t="n"/>
      <c r="E80" s="10" t="n"/>
      <c r="F80" s="10" t="n"/>
      <c r="G80" s="10" t="n"/>
      <c r="H80" s="10" t="n"/>
      <c r="I80" s="12">
        <f>IF($A80="","",MAX(C80-B80,0))</f>
        <v/>
      </c>
      <c r="J80" s="11">
        <f>IF($A80="","",IFERROR(B80/C80,0))</f>
        <v/>
      </c>
      <c r="K80" s="11">
        <f>IF($A80="","",IFERROR(D80/E80,0))</f>
        <v/>
      </c>
      <c r="L80" s="12">
        <f>IF($A80="","",IFERROR(F80/7,0))</f>
        <v/>
      </c>
      <c r="M80" s="12">
        <f>IF($A80="","",ROUND(IFERROR(G80/7,0),0))</f>
        <v/>
      </c>
      <c r="N80" s="11">
        <f>IF($A80="","",IFERROR(H80/C80,0))</f>
        <v/>
      </c>
      <c r="O80" s="11">
        <f>IF($A80="","",IFERROR(B80/C80,0))</f>
        <v/>
      </c>
      <c r="P80" s="11">
        <f>IF($A80="","",MAX(0,AVERAGE(J80,K80,1-N80)))</f>
        <v/>
      </c>
    </row>
    <row r="81" ht="22" customHeight="1">
      <c r="A81" s="9" t="n"/>
      <c r="B81" s="10" t="n"/>
      <c r="C81" s="10" t="n"/>
      <c r="D81" s="10" t="n"/>
      <c r="E81" s="10" t="n"/>
      <c r="F81" s="10" t="n"/>
      <c r="G81" s="10" t="n"/>
      <c r="H81" s="10" t="n"/>
      <c r="I81" s="12">
        <f>IF($A81="","",MAX(C81-B81,0))</f>
        <v/>
      </c>
      <c r="J81" s="11">
        <f>IF($A81="","",IFERROR(B81/C81,0))</f>
        <v/>
      </c>
      <c r="K81" s="11">
        <f>IF($A81="","",IFERROR(D81/E81,0))</f>
        <v/>
      </c>
      <c r="L81" s="12">
        <f>IF($A81="","",IFERROR(F81/7,0))</f>
        <v/>
      </c>
      <c r="M81" s="12">
        <f>IF($A81="","",ROUND(IFERROR(G81/7,0),0))</f>
        <v/>
      </c>
      <c r="N81" s="11">
        <f>IF($A81="","",IFERROR(H81/C81,0))</f>
        <v/>
      </c>
      <c r="O81" s="11">
        <f>IF($A81="","",IFERROR(B81/C81,0))</f>
        <v/>
      </c>
      <c r="P81" s="11">
        <f>IF($A81="","",MAX(0,AVERAGE(J81,K81,1-N81)))</f>
        <v/>
      </c>
    </row>
    <row r="82" ht="22" customHeight="1">
      <c r="A82" s="9" t="n"/>
      <c r="B82" s="10" t="n"/>
      <c r="C82" s="10" t="n"/>
      <c r="D82" s="10" t="n"/>
      <c r="E82" s="10" t="n"/>
      <c r="F82" s="10" t="n"/>
      <c r="G82" s="10" t="n"/>
      <c r="H82" s="10" t="n"/>
      <c r="I82" s="12">
        <f>IF($A82="","",MAX(C82-B82,0))</f>
        <v/>
      </c>
      <c r="J82" s="11">
        <f>IF($A82="","",IFERROR(B82/C82,0))</f>
        <v/>
      </c>
      <c r="K82" s="11">
        <f>IF($A82="","",IFERROR(D82/E82,0))</f>
        <v/>
      </c>
      <c r="L82" s="12">
        <f>IF($A82="","",IFERROR(F82/7,0))</f>
        <v/>
      </c>
      <c r="M82" s="12">
        <f>IF($A82="","",ROUND(IFERROR(G82/7,0),0))</f>
        <v/>
      </c>
      <c r="N82" s="11">
        <f>IF($A82="","",IFERROR(H82/C82,0))</f>
        <v/>
      </c>
      <c r="O82" s="11">
        <f>IF($A82="","",IFERROR(B82/C82,0))</f>
        <v/>
      </c>
      <c r="P82" s="11">
        <f>IF($A82="","",MAX(0,AVERAGE(J82,K82,1-N82)))</f>
        <v/>
      </c>
    </row>
    <row r="83" ht="22" customHeight="1">
      <c r="A83" s="9" t="n"/>
      <c r="B83" s="10" t="n"/>
      <c r="C83" s="10" t="n"/>
      <c r="D83" s="10" t="n"/>
      <c r="E83" s="10" t="n"/>
      <c r="F83" s="10" t="n"/>
      <c r="G83" s="10" t="n"/>
      <c r="H83" s="10" t="n"/>
      <c r="I83" s="12">
        <f>IF($A83="","",MAX(C83-B83,0))</f>
        <v/>
      </c>
      <c r="J83" s="11">
        <f>IF($A83="","",IFERROR(B83/C83,0))</f>
        <v/>
      </c>
      <c r="K83" s="11">
        <f>IF($A83="","",IFERROR(D83/E83,0))</f>
        <v/>
      </c>
      <c r="L83" s="12">
        <f>IF($A83="","",IFERROR(F83/7,0))</f>
        <v/>
      </c>
      <c r="M83" s="12">
        <f>IF($A83="","",ROUND(IFERROR(G83/7,0),0))</f>
        <v/>
      </c>
      <c r="N83" s="11">
        <f>IF($A83="","",IFERROR(H83/C83,0))</f>
        <v/>
      </c>
      <c r="O83" s="11">
        <f>IF($A83="","",IFERROR(B83/C83,0))</f>
        <v/>
      </c>
      <c r="P83" s="11">
        <f>IF($A83="","",MAX(0,AVERAGE(J83,K83,1-N83)))</f>
        <v/>
      </c>
    </row>
    <row r="84" ht="22" customHeight="1">
      <c r="A84" s="9" t="n"/>
      <c r="B84" s="10" t="n"/>
      <c r="C84" s="10" t="n"/>
      <c r="D84" s="10" t="n"/>
      <c r="E84" s="10" t="n"/>
      <c r="F84" s="10" t="n"/>
      <c r="G84" s="10" t="n"/>
      <c r="H84" s="10" t="n"/>
      <c r="I84" s="12">
        <f>IF($A84="","",MAX(C84-B84,0))</f>
        <v/>
      </c>
      <c r="J84" s="11">
        <f>IF($A84="","",IFERROR(B84/C84,0))</f>
        <v/>
      </c>
      <c r="K84" s="11">
        <f>IF($A84="","",IFERROR(D84/E84,0))</f>
        <v/>
      </c>
      <c r="L84" s="12">
        <f>IF($A84="","",IFERROR(F84/7,0))</f>
        <v/>
      </c>
      <c r="M84" s="12">
        <f>IF($A84="","",ROUND(IFERROR(G84/7,0),0))</f>
        <v/>
      </c>
      <c r="N84" s="11">
        <f>IF($A84="","",IFERROR(H84/C84,0))</f>
        <v/>
      </c>
      <c r="O84" s="11">
        <f>IF($A84="","",IFERROR(B84/C84,0))</f>
        <v/>
      </c>
      <c r="P84" s="11">
        <f>IF($A84="","",MAX(0,AVERAGE(J84,K84,1-N84)))</f>
        <v/>
      </c>
    </row>
    <row r="85" ht="22" customHeight="1">
      <c r="A85" s="9" t="n"/>
      <c r="B85" s="10" t="n"/>
      <c r="C85" s="10" t="n"/>
      <c r="D85" s="10" t="n"/>
      <c r="E85" s="10" t="n"/>
      <c r="F85" s="10" t="n"/>
      <c r="G85" s="10" t="n"/>
      <c r="H85" s="10" t="n"/>
      <c r="I85" s="12">
        <f>IF($A85="","",MAX(C85-B85,0))</f>
        <v/>
      </c>
      <c r="J85" s="11">
        <f>IF($A85="","",IFERROR(B85/C85,0))</f>
        <v/>
      </c>
      <c r="K85" s="11">
        <f>IF($A85="","",IFERROR(D85/E85,0))</f>
        <v/>
      </c>
      <c r="L85" s="12">
        <f>IF($A85="","",IFERROR(F85/7,0))</f>
        <v/>
      </c>
      <c r="M85" s="12">
        <f>IF($A85="","",ROUND(IFERROR(G85/7,0),0))</f>
        <v/>
      </c>
      <c r="N85" s="11">
        <f>IF($A85="","",IFERROR(H85/C85,0))</f>
        <v/>
      </c>
      <c r="O85" s="11">
        <f>IF($A85="","",IFERROR(B85/C85,0))</f>
        <v/>
      </c>
      <c r="P85" s="11">
        <f>IF($A85="","",MAX(0,AVERAGE(J85,K85,1-N85)))</f>
        <v/>
      </c>
    </row>
    <row r="86" ht="22" customHeight="1">
      <c r="A86" s="9" t="n"/>
      <c r="B86" s="10" t="n"/>
      <c r="C86" s="10" t="n"/>
      <c r="D86" s="10" t="n"/>
      <c r="E86" s="10" t="n"/>
      <c r="F86" s="10" t="n"/>
      <c r="G86" s="10" t="n"/>
      <c r="H86" s="10" t="n"/>
      <c r="I86" s="12">
        <f>IF($A86="","",MAX(C86-B86,0))</f>
        <v/>
      </c>
      <c r="J86" s="11">
        <f>IF($A86="","",IFERROR(B86/C86,0))</f>
        <v/>
      </c>
      <c r="K86" s="11">
        <f>IF($A86="","",IFERROR(D86/E86,0))</f>
        <v/>
      </c>
      <c r="L86" s="12">
        <f>IF($A86="","",IFERROR(F86/7,0))</f>
        <v/>
      </c>
      <c r="M86" s="12">
        <f>IF($A86="","",ROUND(IFERROR(G86/7,0),0))</f>
        <v/>
      </c>
      <c r="N86" s="11">
        <f>IF($A86="","",IFERROR(H86/C86,0))</f>
        <v/>
      </c>
      <c r="O86" s="11">
        <f>IF($A86="","",IFERROR(B86/C86,0))</f>
        <v/>
      </c>
      <c r="P86" s="11">
        <f>IF($A86="","",MAX(0,AVERAGE(J86,K86,1-N86)))</f>
        <v/>
      </c>
    </row>
    <row r="87" ht="22" customHeight="1">
      <c r="A87" s="9" t="n"/>
      <c r="B87" s="10" t="n"/>
      <c r="C87" s="10" t="n"/>
      <c r="D87" s="10" t="n"/>
      <c r="E87" s="10" t="n"/>
      <c r="F87" s="10" t="n"/>
      <c r="G87" s="10" t="n"/>
      <c r="H87" s="10" t="n"/>
      <c r="I87" s="12">
        <f>IF($A87="","",MAX(C87-B87,0))</f>
        <v/>
      </c>
      <c r="J87" s="11">
        <f>IF($A87="","",IFERROR(B87/C87,0))</f>
        <v/>
      </c>
      <c r="K87" s="11">
        <f>IF($A87="","",IFERROR(D87/E87,0))</f>
        <v/>
      </c>
      <c r="L87" s="12">
        <f>IF($A87="","",IFERROR(F87/7,0))</f>
        <v/>
      </c>
      <c r="M87" s="12">
        <f>IF($A87="","",ROUND(IFERROR(G87/7,0),0))</f>
        <v/>
      </c>
      <c r="N87" s="11">
        <f>IF($A87="","",IFERROR(H87/C87,0))</f>
        <v/>
      </c>
      <c r="O87" s="11">
        <f>IF($A87="","",IFERROR(B87/C87,0))</f>
        <v/>
      </c>
      <c r="P87" s="11">
        <f>IF($A87="","",MAX(0,AVERAGE(J87,K87,1-N87)))</f>
        <v/>
      </c>
    </row>
    <row r="88" ht="22" customHeight="1">
      <c r="A88" s="9" t="n"/>
      <c r="B88" s="10" t="n"/>
      <c r="C88" s="10" t="n"/>
      <c r="D88" s="10" t="n"/>
      <c r="E88" s="10" t="n"/>
      <c r="F88" s="10" t="n"/>
      <c r="G88" s="10" t="n"/>
      <c r="H88" s="10" t="n"/>
      <c r="I88" s="12">
        <f>IF($A88="","",MAX(C88-B88,0))</f>
        <v/>
      </c>
      <c r="J88" s="11">
        <f>IF($A88="","",IFERROR(B88/C88,0))</f>
        <v/>
      </c>
      <c r="K88" s="11">
        <f>IF($A88="","",IFERROR(D88/E88,0))</f>
        <v/>
      </c>
      <c r="L88" s="12">
        <f>IF($A88="","",IFERROR(F88/7,0))</f>
        <v/>
      </c>
      <c r="M88" s="12">
        <f>IF($A88="","",ROUND(IFERROR(G88/7,0),0))</f>
        <v/>
      </c>
      <c r="N88" s="11">
        <f>IF($A88="","",IFERROR(H88/C88,0))</f>
        <v/>
      </c>
      <c r="O88" s="11">
        <f>IF($A88="","",IFERROR(B88/C88,0))</f>
        <v/>
      </c>
      <c r="P88" s="11">
        <f>IF($A88="","",MAX(0,AVERAGE(J88,K88,1-N88)))</f>
        <v/>
      </c>
    </row>
    <row r="89" ht="22" customHeight="1">
      <c r="A89" s="9" t="n"/>
      <c r="B89" s="10" t="n"/>
      <c r="C89" s="10" t="n"/>
      <c r="D89" s="10" t="n"/>
      <c r="E89" s="10" t="n"/>
      <c r="F89" s="10" t="n"/>
      <c r="G89" s="10" t="n"/>
      <c r="H89" s="10" t="n"/>
      <c r="I89" s="12">
        <f>IF($A89="","",MAX(C89-B89,0))</f>
        <v/>
      </c>
      <c r="J89" s="11">
        <f>IF($A89="","",IFERROR(B89/C89,0))</f>
        <v/>
      </c>
      <c r="K89" s="11">
        <f>IF($A89="","",IFERROR(D89/E89,0))</f>
        <v/>
      </c>
      <c r="L89" s="12">
        <f>IF($A89="","",IFERROR(F89/7,0))</f>
        <v/>
      </c>
      <c r="M89" s="12">
        <f>IF($A89="","",ROUND(IFERROR(G89/7,0),0))</f>
        <v/>
      </c>
      <c r="N89" s="11">
        <f>IF($A89="","",IFERROR(H89/C89,0))</f>
        <v/>
      </c>
      <c r="O89" s="11">
        <f>IF($A89="","",IFERROR(B89/C89,0))</f>
        <v/>
      </c>
      <c r="P89" s="11">
        <f>IF($A89="","",MAX(0,AVERAGE(J89,K89,1-N89)))</f>
        <v/>
      </c>
    </row>
    <row r="90" ht="22" customHeight="1">
      <c r="A90" s="9" t="n"/>
      <c r="B90" s="10" t="n"/>
      <c r="C90" s="10" t="n"/>
      <c r="D90" s="10" t="n"/>
      <c r="E90" s="10" t="n"/>
      <c r="F90" s="10" t="n"/>
      <c r="G90" s="10" t="n"/>
      <c r="H90" s="10" t="n"/>
      <c r="I90" s="12">
        <f>IF($A90="","",MAX(C90-B90,0))</f>
        <v/>
      </c>
      <c r="J90" s="11">
        <f>IF($A90="","",IFERROR(B90/C90,0))</f>
        <v/>
      </c>
      <c r="K90" s="11">
        <f>IF($A90="","",IFERROR(D90/E90,0))</f>
        <v/>
      </c>
      <c r="L90" s="12">
        <f>IF($A90="","",IFERROR(F90/7,0))</f>
        <v/>
      </c>
      <c r="M90" s="12">
        <f>IF($A90="","",ROUND(IFERROR(G90/7,0),0))</f>
        <v/>
      </c>
      <c r="N90" s="11">
        <f>IF($A90="","",IFERROR(H90/C90,0))</f>
        <v/>
      </c>
      <c r="O90" s="11">
        <f>IF($A90="","",IFERROR(B90/C90,0))</f>
        <v/>
      </c>
      <c r="P90" s="11">
        <f>IF($A90="","",MAX(0,AVERAGE(J90,K90,1-N90)))</f>
        <v/>
      </c>
    </row>
    <row r="91" ht="22" customHeight="1">
      <c r="A91" s="9" t="n"/>
      <c r="B91" s="10" t="n"/>
      <c r="C91" s="10" t="n"/>
      <c r="D91" s="10" t="n"/>
      <c r="E91" s="10" t="n"/>
      <c r="F91" s="10" t="n"/>
      <c r="G91" s="10" t="n"/>
      <c r="H91" s="10" t="n"/>
      <c r="I91" s="12">
        <f>IF($A91="","",MAX(C91-B91,0))</f>
        <v/>
      </c>
      <c r="J91" s="11">
        <f>IF($A91="","",IFERROR(B91/C91,0))</f>
        <v/>
      </c>
      <c r="K91" s="11">
        <f>IF($A91="","",IFERROR(D91/E91,0))</f>
        <v/>
      </c>
      <c r="L91" s="12">
        <f>IF($A91="","",IFERROR(F91/7,0))</f>
        <v/>
      </c>
      <c r="M91" s="12">
        <f>IF($A91="","",ROUND(IFERROR(G91/7,0),0))</f>
        <v/>
      </c>
      <c r="N91" s="11">
        <f>IF($A91="","",IFERROR(H91/C91,0))</f>
        <v/>
      </c>
      <c r="O91" s="11">
        <f>IF($A91="","",IFERROR(B91/C91,0))</f>
        <v/>
      </c>
      <c r="P91" s="11">
        <f>IF($A91="","",MAX(0,AVERAGE(J91,K91,1-N91)))</f>
        <v/>
      </c>
    </row>
    <row r="92" ht="22" customHeight="1">
      <c r="A92" s="9" t="n"/>
      <c r="B92" s="10" t="n"/>
      <c r="C92" s="10" t="n"/>
      <c r="D92" s="10" t="n"/>
      <c r="E92" s="10" t="n"/>
      <c r="F92" s="10" t="n"/>
      <c r="G92" s="10" t="n"/>
      <c r="H92" s="10" t="n"/>
      <c r="I92" s="12">
        <f>IF($A92="","",MAX(C92-B92,0))</f>
        <v/>
      </c>
      <c r="J92" s="11">
        <f>IF($A92="","",IFERROR(B92/C92,0))</f>
        <v/>
      </c>
      <c r="K92" s="11">
        <f>IF($A92="","",IFERROR(D92/E92,0))</f>
        <v/>
      </c>
      <c r="L92" s="12">
        <f>IF($A92="","",IFERROR(F92/7,0))</f>
        <v/>
      </c>
      <c r="M92" s="12">
        <f>IF($A92="","",ROUND(IFERROR(G92/7,0),0))</f>
        <v/>
      </c>
      <c r="N92" s="11">
        <f>IF($A92="","",IFERROR(H92/C92,0))</f>
        <v/>
      </c>
      <c r="O92" s="11">
        <f>IF($A92="","",IFERROR(B92/C92,0))</f>
        <v/>
      </c>
      <c r="P92" s="11">
        <f>IF($A92="","",MAX(0,AVERAGE(J92,K92,1-N92)))</f>
        <v/>
      </c>
    </row>
    <row r="93" ht="22" customHeight="1">
      <c r="A93" s="9" t="n"/>
      <c r="B93" s="10" t="n"/>
      <c r="C93" s="10" t="n"/>
      <c r="D93" s="10" t="n"/>
      <c r="E93" s="10" t="n"/>
      <c r="F93" s="10" t="n"/>
      <c r="G93" s="10" t="n"/>
      <c r="H93" s="10" t="n"/>
      <c r="I93" s="12">
        <f>IF($A93="","",MAX(C93-B93,0))</f>
        <v/>
      </c>
      <c r="J93" s="11">
        <f>IF($A93="","",IFERROR(B93/C93,0))</f>
        <v/>
      </c>
      <c r="K93" s="11">
        <f>IF($A93="","",IFERROR(D93/E93,0))</f>
        <v/>
      </c>
      <c r="L93" s="12">
        <f>IF($A93="","",IFERROR(F93/7,0))</f>
        <v/>
      </c>
      <c r="M93" s="12">
        <f>IF($A93="","",ROUND(IFERROR(G93/7,0),0))</f>
        <v/>
      </c>
      <c r="N93" s="11">
        <f>IF($A93="","",IFERROR(H93/C93,0))</f>
        <v/>
      </c>
      <c r="O93" s="11">
        <f>IF($A93="","",IFERROR(B93/C93,0))</f>
        <v/>
      </c>
      <c r="P93" s="11">
        <f>IF($A93="","",MAX(0,AVERAGE(J93,K93,1-N93)))</f>
        <v/>
      </c>
    </row>
    <row r="94" ht="22" customHeight="1">
      <c r="A94" s="9" t="n"/>
      <c r="B94" s="10" t="n"/>
      <c r="C94" s="10" t="n"/>
      <c r="D94" s="10" t="n"/>
      <c r="E94" s="10" t="n"/>
      <c r="F94" s="10" t="n"/>
      <c r="G94" s="10" t="n"/>
      <c r="H94" s="10" t="n"/>
      <c r="I94" s="12">
        <f>IF($A94="","",MAX(C94-B94,0))</f>
        <v/>
      </c>
      <c r="J94" s="11">
        <f>IF($A94="","",IFERROR(B94/C94,0))</f>
        <v/>
      </c>
      <c r="K94" s="11">
        <f>IF($A94="","",IFERROR(D94/E94,0))</f>
        <v/>
      </c>
      <c r="L94" s="12">
        <f>IF($A94="","",IFERROR(F94/7,0))</f>
        <v/>
      </c>
      <c r="M94" s="12">
        <f>IF($A94="","",ROUND(IFERROR(G94/7,0),0))</f>
        <v/>
      </c>
      <c r="N94" s="11">
        <f>IF($A94="","",IFERROR(H94/C94,0))</f>
        <v/>
      </c>
      <c r="O94" s="11">
        <f>IF($A94="","",IFERROR(B94/C94,0))</f>
        <v/>
      </c>
      <c r="P94" s="11">
        <f>IF($A94="","",MAX(0,AVERAGE(J94,K94,1-N94)))</f>
        <v/>
      </c>
    </row>
    <row r="95" ht="22" customHeight="1">
      <c r="A95" s="9" t="n"/>
      <c r="B95" s="10" t="n"/>
      <c r="C95" s="10" t="n"/>
      <c r="D95" s="10" t="n"/>
      <c r="E95" s="10" t="n"/>
      <c r="F95" s="10" t="n"/>
      <c r="G95" s="10" t="n"/>
      <c r="H95" s="10" t="n"/>
      <c r="I95" s="12">
        <f>IF($A95="","",MAX(C95-B95,0))</f>
        <v/>
      </c>
      <c r="J95" s="11">
        <f>IF($A95="","",IFERROR(B95/C95,0))</f>
        <v/>
      </c>
      <c r="K95" s="11">
        <f>IF($A95="","",IFERROR(D95/E95,0))</f>
        <v/>
      </c>
      <c r="L95" s="12">
        <f>IF($A95="","",IFERROR(F95/7,0))</f>
        <v/>
      </c>
      <c r="M95" s="12">
        <f>IF($A95="","",ROUND(IFERROR(G95/7,0),0))</f>
        <v/>
      </c>
      <c r="N95" s="11">
        <f>IF($A95="","",IFERROR(H95/C95,0))</f>
        <v/>
      </c>
      <c r="O95" s="11">
        <f>IF($A95="","",IFERROR(B95/C95,0))</f>
        <v/>
      </c>
      <c r="P95" s="11">
        <f>IF($A95="","",MAX(0,AVERAGE(J95,K95,1-N95)))</f>
        <v/>
      </c>
    </row>
    <row r="96" ht="22" customHeight="1">
      <c r="A96" s="9" t="n"/>
      <c r="B96" s="10" t="n"/>
      <c r="C96" s="10" t="n"/>
      <c r="D96" s="10" t="n"/>
      <c r="E96" s="10" t="n"/>
      <c r="F96" s="10" t="n"/>
      <c r="G96" s="10" t="n"/>
      <c r="H96" s="10" t="n"/>
      <c r="I96" s="12">
        <f>IF($A96="","",MAX(C96-B96,0))</f>
        <v/>
      </c>
      <c r="J96" s="11">
        <f>IF($A96="","",IFERROR(B96/C96,0))</f>
        <v/>
      </c>
      <c r="K96" s="11">
        <f>IF($A96="","",IFERROR(D96/E96,0))</f>
        <v/>
      </c>
      <c r="L96" s="12">
        <f>IF($A96="","",IFERROR(F96/7,0))</f>
        <v/>
      </c>
      <c r="M96" s="12">
        <f>IF($A96="","",ROUND(IFERROR(G96/7,0),0))</f>
        <v/>
      </c>
      <c r="N96" s="11">
        <f>IF($A96="","",IFERROR(H96/C96,0))</f>
        <v/>
      </c>
      <c r="O96" s="11">
        <f>IF($A96="","",IFERROR(B96/C96,0))</f>
        <v/>
      </c>
      <c r="P96" s="11">
        <f>IF($A96="","",MAX(0,AVERAGE(J96,K96,1-N96)))</f>
        <v/>
      </c>
    </row>
    <row r="97" ht="22" customHeight="1">
      <c r="A97" s="9" t="n"/>
      <c r="B97" s="10" t="n"/>
      <c r="C97" s="10" t="n"/>
      <c r="D97" s="10" t="n"/>
      <c r="E97" s="10" t="n"/>
      <c r="F97" s="10" t="n"/>
      <c r="G97" s="10" t="n"/>
      <c r="H97" s="10" t="n"/>
      <c r="I97" s="12">
        <f>IF($A97="","",MAX(C97-B97,0))</f>
        <v/>
      </c>
      <c r="J97" s="11">
        <f>IF($A97="","",IFERROR(B97/C97,0))</f>
        <v/>
      </c>
      <c r="K97" s="11">
        <f>IF($A97="","",IFERROR(D97/E97,0))</f>
        <v/>
      </c>
      <c r="L97" s="12">
        <f>IF($A97="","",IFERROR(F97/7,0))</f>
        <v/>
      </c>
      <c r="M97" s="12">
        <f>IF($A97="","",ROUND(IFERROR(G97/7,0),0))</f>
        <v/>
      </c>
      <c r="N97" s="11">
        <f>IF($A97="","",IFERROR(H97/C97,0))</f>
        <v/>
      </c>
      <c r="O97" s="11">
        <f>IF($A97="","",IFERROR(B97/C97,0))</f>
        <v/>
      </c>
      <c r="P97" s="11">
        <f>IF($A97="","",MAX(0,AVERAGE(J97,K97,1-N97)))</f>
        <v/>
      </c>
    </row>
    <row r="98" ht="22" customHeight="1">
      <c r="A98" s="9" t="n"/>
      <c r="B98" s="10" t="n"/>
      <c r="C98" s="10" t="n"/>
      <c r="D98" s="10" t="n"/>
      <c r="E98" s="10" t="n"/>
      <c r="F98" s="10" t="n"/>
      <c r="G98" s="10" t="n"/>
      <c r="H98" s="10" t="n"/>
      <c r="I98" s="12">
        <f>IF($A98="","",MAX(C98-B98,0))</f>
        <v/>
      </c>
      <c r="J98" s="11">
        <f>IF($A98="","",IFERROR(B98/C98,0))</f>
        <v/>
      </c>
      <c r="K98" s="11">
        <f>IF($A98="","",IFERROR(D98/E98,0))</f>
        <v/>
      </c>
      <c r="L98" s="12">
        <f>IF($A98="","",IFERROR(F98/7,0))</f>
        <v/>
      </c>
      <c r="M98" s="12">
        <f>IF($A98="","",ROUND(IFERROR(G98/7,0),0))</f>
        <v/>
      </c>
      <c r="N98" s="11">
        <f>IF($A98="","",IFERROR(H98/C98,0))</f>
        <v/>
      </c>
      <c r="O98" s="11">
        <f>IF($A98="","",IFERROR(B98/C98,0))</f>
        <v/>
      </c>
      <c r="P98" s="11">
        <f>IF($A98="","",MAX(0,AVERAGE(J98,K98,1-N98)))</f>
        <v/>
      </c>
    </row>
    <row r="99" ht="22" customHeight="1">
      <c r="A99" s="9" t="n"/>
      <c r="B99" s="10" t="n"/>
      <c r="C99" s="10" t="n"/>
      <c r="D99" s="10" t="n"/>
      <c r="E99" s="10" t="n"/>
      <c r="F99" s="10" t="n"/>
      <c r="G99" s="10" t="n"/>
      <c r="H99" s="10" t="n"/>
      <c r="I99" s="12">
        <f>IF($A99="","",MAX(C99-B99,0))</f>
        <v/>
      </c>
      <c r="J99" s="11">
        <f>IF($A99="","",IFERROR(B99/C99,0))</f>
        <v/>
      </c>
      <c r="K99" s="11">
        <f>IF($A99="","",IFERROR(D99/E99,0))</f>
        <v/>
      </c>
      <c r="L99" s="12">
        <f>IF($A99="","",IFERROR(F99/7,0))</f>
        <v/>
      </c>
      <c r="M99" s="12">
        <f>IF($A99="","",ROUND(IFERROR(G99/7,0),0))</f>
        <v/>
      </c>
      <c r="N99" s="11">
        <f>IF($A99="","",IFERROR(H99/C99,0))</f>
        <v/>
      </c>
      <c r="O99" s="11">
        <f>IF($A99="","",IFERROR(B99/C99,0))</f>
        <v/>
      </c>
      <c r="P99" s="11">
        <f>IF($A99="","",MAX(0,AVERAGE(J99,K99,1-N99)))</f>
        <v/>
      </c>
    </row>
    <row r="100" ht="22" customHeight="1">
      <c r="A100" s="9" t="n"/>
      <c r="B100" s="10" t="n"/>
      <c r="C100" s="10" t="n"/>
      <c r="D100" s="10" t="n"/>
      <c r="E100" s="10" t="n"/>
      <c r="F100" s="10" t="n"/>
      <c r="G100" s="10" t="n"/>
      <c r="H100" s="10" t="n"/>
      <c r="I100" s="12">
        <f>IF($A100="","",MAX(C100-B100,0))</f>
        <v/>
      </c>
      <c r="J100" s="11">
        <f>IF($A100="","",IFERROR(B100/C100,0))</f>
        <v/>
      </c>
      <c r="K100" s="11">
        <f>IF($A100="","",IFERROR(D100/E100,0))</f>
        <v/>
      </c>
      <c r="L100" s="12">
        <f>IF($A100="","",IFERROR(F100/7,0))</f>
        <v/>
      </c>
      <c r="M100" s="12">
        <f>IF($A100="","",ROUND(IFERROR(G100/7,0),0))</f>
        <v/>
      </c>
      <c r="N100" s="11">
        <f>IF($A100="","",IFERROR(H100/C100,0))</f>
        <v/>
      </c>
      <c r="O100" s="11">
        <f>IF($A100="","",IFERROR(B100/C100,0))</f>
        <v/>
      </c>
      <c r="P100" s="11">
        <f>IF($A100="","",MAX(0,AVERAGE(J100,K100,1-N100)))</f>
        <v/>
      </c>
    </row>
    <row r="101" ht="22" customHeight="1">
      <c r="A101" s="9" t="n"/>
      <c r="B101" s="10" t="n"/>
      <c r="C101" s="10" t="n"/>
      <c r="D101" s="10" t="n"/>
      <c r="E101" s="10" t="n"/>
      <c r="F101" s="10" t="n"/>
      <c r="G101" s="10" t="n"/>
      <c r="H101" s="10" t="n"/>
      <c r="I101" s="12">
        <f>IF($A101="","",MAX(C101-B101,0))</f>
        <v/>
      </c>
      <c r="J101" s="11">
        <f>IF($A101="","",IFERROR(B101/C101,0))</f>
        <v/>
      </c>
      <c r="K101" s="11">
        <f>IF($A101="","",IFERROR(D101/E101,0))</f>
        <v/>
      </c>
      <c r="L101" s="12">
        <f>IF($A101="","",IFERROR(F101/7,0))</f>
        <v/>
      </c>
      <c r="M101" s="12">
        <f>IF($A101="","",ROUND(IFERROR(G101/7,0),0))</f>
        <v/>
      </c>
      <c r="N101" s="11">
        <f>IF($A101="","",IFERROR(H101/C101,0))</f>
        <v/>
      </c>
      <c r="O101" s="11">
        <f>IF($A101="","",IFERROR(B101/C101,0))</f>
        <v/>
      </c>
      <c r="P101" s="11">
        <f>IF($A101="","",MAX(0,AVERAGE(J101,K101,1-N101)))</f>
        <v/>
      </c>
    </row>
    <row r="102" ht="22" customHeight="1">
      <c r="A102" s="9" t="n"/>
      <c r="B102" s="10" t="n"/>
      <c r="C102" s="10" t="n"/>
      <c r="D102" s="10" t="n"/>
      <c r="E102" s="10" t="n"/>
      <c r="F102" s="10" t="n"/>
      <c r="G102" s="10" t="n"/>
      <c r="H102" s="10" t="n"/>
      <c r="I102" s="12">
        <f>IF($A102="","",MAX(C102-B102,0))</f>
        <v/>
      </c>
      <c r="J102" s="11">
        <f>IF($A102="","",IFERROR(B102/C102,0))</f>
        <v/>
      </c>
      <c r="K102" s="11">
        <f>IF($A102="","",IFERROR(D102/E102,0))</f>
        <v/>
      </c>
      <c r="L102" s="12">
        <f>IF($A102="","",IFERROR(F102/7,0))</f>
        <v/>
      </c>
      <c r="M102" s="12">
        <f>IF($A102="","",ROUND(IFERROR(G102/7,0),0))</f>
        <v/>
      </c>
      <c r="N102" s="11">
        <f>IF($A102="","",IFERROR(H102/C102,0))</f>
        <v/>
      </c>
      <c r="O102" s="11">
        <f>IF($A102="","",IFERROR(B102/C102,0))</f>
        <v/>
      </c>
      <c r="P102" s="11">
        <f>IF($A102="","",MAX(0,AVERAGE(J102,K102,1-N102)))</f>
        <v/>
      </c>
    </row>
    <row r="103" ht="22" customHeight="1">
      <c r="A103" s="9" t="n"/>
      <c r="B103" s="10" t="n"/>
      <c r="C103" s="10" t="n"/>
      <c r="D103" s="10" t="n"/>
      <c r="E103" s="10" t="n"/>
      <c r="F103" s="10" t="n"/>
      <c r="G103" s="10" t="n"/>
      <c r="H103" s="10" t="n"/>
      <c r="I103" s="12">
        <f>IF($A103="","",MAX(C103-B103,0))</f>
        <v/>
      </c>
      <c r="J103" s="11">
        <f>IF($A103="","",IFERROR(B103/C103,0))</f>
        <v/>
      </c>
      <c r="K103" s="11">
        <f>IF($A103="","",IFERROR(D103/E103,0))</f>
        <v/>
      </c>
      <c r="L103" s="12">
        <f>IF($A103="","",IFERROR(F103/7,0))</f>
        <v/>
      </c>
      <c r="M103" s="12">
        <f>IF($A103="","",ROUND(IFERROR(G103/7,0),0))</f>
        <v/>
      </c>
      <c r="N103" s="11">
        <f>IF($A103="","",IFERROR(H103/C103,0))</f>
        <v/>
      </c>
      <c r="O103" s="11">
        <f>IF($A103="","",IFERROR(B103/C103,0))</f>
        <v/>
      </c>
      <c r="P103" s="11">
        <f>IF($A103="","",MAX(0,AVERAGE(J103,K103,1-N103)))</f>
        <v/>
      </c>
    </row>
    <row r="104" ht="22" customHeight="1">
      <c r="A104" s="9" t="n"/>
      <c r="B104" s="10" t="n"/>
      <c r="C104" s="10" t="n"/>
      <c r="D104" s="10" t="n"/>
      <c r="E104" s="10" t="n"/>
      <c r="F104" s="10" t="n"/>
      <c r="G104" s="10" t="n"/>
      <c r="H104" s="10" t="n"/>
      <c r="I104" s="12">
        <f>IF($A104="","",MAX(C104-B104,0))</f>
        <v/>
      </c>
      <c r="J104" s="11">
        <f>IF($A104="","",IFERROR(B104/C104,0))</f>
        <v/>
      </c>
      <c r="K104" s="11">
        <f>IF($A104="","",IFERROR(D104/E104,0))</f>
        <v/>
      </c>
      <c r="L104" s="12">
        <f>IF($A104="","",IFERROR(F104/7,0))</f>
        <v/>
      </c>
      <c r="M104" s="12">
        <f>IF($A104="","",ROUND(IFERROR(G104/7,0),0))</f>
        <v/>
      </c>
      <c r="N104" s="11">
        <f>IF($A104="","",IFERROR(H104/C104,0))</f>
        <v/>
      </c>
      <c r="O104" s="11">
        <f>IF($A104="","",IFERROR(B104/C104,0))</f>
        <v/>
      </c>
      <c r="P104" s="11">
        <f>IF($A104="","",MAX(0,AVERAGE(J104,K104,1-N104)))</f>
        <v/>
      </c>
    </row>
    <row r="105" ht="22" customHeight="1">
      <c r="A105" s="9" t="n"/>
      <c r="B105" s="10" t="n"/>
      <c r="C105" s="10" t="n"/>
      <c r="D105" s="10" t="n"/>
      <c r="E105" s="10" t="n"/>
      <c r="F105" s="10" t="n"/>
      <c r="G105" s="10" t="n"/>
      <c r="H105" s="10" t="n"/>
      <c r="I105" s="12">
        <f>IF($A105="","",MAX(C105-B105,0))</f>
        <v/>
      </c>
      <c r="J105" s="11">
        <f>IF($A105="","",IFERROR(B105/C105,0))</f>
        <v/>
      </c>
      <c r="K105" s="11">
        <f>IF($A105="","",IFERROR(D105/E105,0))</f>
        <v/>
      </c>
      <c r="L105" s="12">
        <f>IF($A105="","",IFERROR(F105/7,0))</f>
        <v/>
      </c>
      <c r="M105" s="12">
        <f>IF($A105="","",ROUND(IFERROR(G105/7,0),0))</f>
        <v/>
      </c>
      <c r="N105" s="11">
        <f>IF($A105="","",IFERROR(H105/C105,0))</f>
        <v/>
      </c>
      <c r="O105" s="11">
        <f>IF($A105="","",IFERROR(B105/C105,0))</f>
        <v/>
      </c>
      <c r="P105" s="11">
        <f>IF($A105="","",MAX(0,AVERAGE(J105,K105,1-N105)))</f>
        <v/>
      </c>
    </row>
    <row r="106" ht="22" customHeight="1">
      <c r="A106" s="9" t="n"/>
      <c r="B106" s="10" t="n"/>
      <c r="C106" s="10" t="n"/>
      <c r="D106" s="10" t="n"/>
      <c r="E106" s="10" t="n"/>
      <c r="F106" s="10" t="n"/>
      <c r="G106" s="10" t="n"/>
      <c r="H106" s="10" t="n"/>
      <c r="I106" s="12">
        <f>IF($A106="","",MAX(C106-B106,0))</f>
        <v/>
      </c>
      <c r="J106" s="11">
        <f>IF($A106="","",IFERROR(B106/C106,0))</f>
        <v/>
      </c>
      <c r="K106" s="11">
        <f>IF($A106="","",IFERROR(D106/E106,0))</f>
        <v/>
      </c>
      <c r="L106" s="12">
        <f>IF($A106="","",IFERROR(F106/7,0))</f>
        <v/>
      </c>
      <c r="M106" s="12">
        <f>IF($A106="","",ROUND(IFERROR(G106/7,0),0))</f>
        <v/>
      </c>
      <c r="N106" s="11">
        <f>IF($A106="","",IFERROR(H106/C106,0))</f>
        <v/>
      </c>
      <c r="O106" s="11">
        <f>IF($A106="","",IFERROR(B106/C106,0))</f>
        <v/>
      </c>
      <c r="P106" s="11">
        <f>IF($A106="","",MAX(0,AVERAGE(J106,K106,1-N106)))</f>
        <v/>
      </c>
    </row>
    <row r="107" ht="22" customHeight="1">
      <c r="A107" s="9" t="n"/>
      <c r="B107" s="10" t="n"/>
      <c r="C107" s="10" t="n"/>
      <c r="D107" s="10" t="n"/>
      <c r="E107" s="10" t="n"/>
      <c r="F107" s="10" t="n"/>
      <c r="G107" s="10" t="n"/>
      <c r="H107" s="10" t="n"/>
      <c r="I107" s="12">
        <f>IF($A107="","",MAX(C107-B107,0))</f>
        <v/>
      </c>
      <c r="J107" s="11">
        <f>IF($A107="","",IFERROR(B107/C107,0))</f>
        <v/>
      </c>
      <c r="K107" s="11">
        <f>IF($A107="","",IFERROR(D107/E107,0))</f>
        <v/>
      </c>
      <c r="L107" s="12">
        <f>IF($A107="","",IFERROR(F107/7,0))</f>
        <v/>
      </c>
      <c r="M107" s="12">
        <f>IF($A107="","",ROUND(IFERROR(G107/7,0),0))</f>
        <v/>
      </c>
      <c r="N107" s="11">
        <f>IF($A107="","",IFERROR(H107/C107,0))</f>
        <v/>
      </c>
      <c r="O107" s="11">
        <f>IF($A107="","",IFERROR(B107/C107,0))</f>
        <v/>
      </c>
      <c r="P107" s="11">
        <f>IF($A107="","",MAX(0,AVERAGE(J107,K107,1-N107)))</f>
        <v/>
      </c>
    </row>
    <row r="108" ht="22" customHeight="1">
      <c r="A108" s="9" t="n"/>
      <c r="B108" s="10" t="n"/>
      <c r="C108" s="10" t="n"/>
      <c r="D108" s="10" t="n"/>
      <c r="E108" s="10" t="n"/>
      <c r="F108" s="10" t="n"/>
      <c r="G108" s="10" t="n"/>
      <c r="H108" s="10" t="n"/>
      <c r="I108" s="12">
        <f>IF($A108="","",MAX(C108-B108,0))</f>
        <v/>
      </c>
      <c r="J108" s="11">
        <f>IF($A108="","",IFERROR(B108/C108,0))</f>
        <v/>
      </c>
      <c r="K108" s="11">
        <f>IF($A108="","",IFERROR(D108/E108,0))</f>
        <v/>
      </c>
      <c r="L108" s="12">
        <f>IF($A108="","",IFERROR(F108/7,0))</f>
        <v/>
      </c>
      <c r="M108" s="12">
        <f>IF($A108="","",ROUND(IFERROR(G108/7,0),0))</f>
        <v/>
      </c>
      <c r="N108" s="11">
        <f>IF($A108="","",IFERROR(H108/C108,0))</f>
        <v/>
      </c>
      <c r="O108" s="11">
        <f>IF($A108="","",IFERROR(B108/C108,0))</f>
        <v/>
      </c>
      <c r="P108" s="11">
        <f>IF($A108="","",MAX(0,AVERAGE(J108,K108,1-N108)))</f>
        <v/>
      </c>
    </row>
    <row r="109" ht="22" customHeight="1">
      <c r="A109" s="9" t="n"/>
      <c r="B109" s="10" t="n"/>
      <c r="C109" s="10" t="n"/>
      <c r="D109" s="10" t="n"/>
      <c r="E109" s="10" t="n"/>
      <c r="F109" s="10" t="n"/>
      <c r="G109" s="10" t="n"/>
      <c r="H109" s="10" t="n"/>
      <c r="I109" s="12">
        <f>IF($A109="","",MAX(C109-B109,0))</f>
        <v/>
      </c>
      <c r="J109" s="11">
        <f>IF($A109="","",IFERROR(B109/C109,0))</f>
        <v/>
      </c>
      <c r="K109" s="11">
        <f>IF($A109="","",IFERROR(D109/E109,0))</f>
        <v/>
      </c>
      <c r="L109" s="12">
        <f>IF($A109="","",IFERROR(F109/7,0))</f>
        <v/>
      </c>
      <c r="M109" s="12">
        <f>IF($A109="","",ROUND(IFERROR(G109/7,0),0))</f>
        <v/>
      </c>
      <c r="N109" s="11">
        <f>IF($A109="","",IFERROR(H109/C109,0))</f>
        <v/>
      </c>
      <c r="O109" s="11">
        <f>IF($A109="","",IFERROR(B109/C109,0))</f>
        <v/>
      </c>
      <c r="P109" s="11">
        <f>IF($A109="","",MAX(0,AVERAGE(J109,K109,1-N109)))</f>
        <v/>
      </c>
    </row>
    <row r="110" ht="22" customHeight="1">
      <c r="A110" s="9" t="n"/>
      <c r="B110" s="10" t="n"/>
      <c r="C110" s="10" t="n"/>
      <c r="D110" s="10" t="n"/>
      <c r="E110" s="10" t="n"/>
      <c r="F110" s="10" t="n"/>
      <c r="G110" s="10" t="n"/>
      <c r="H110" s="10" t="n"/>
      <c r="I110" s="12">
        <f>IF($A110="","",MAX(C110-B110,0))</f>
        <v/>
      </c>
      <c r="J110" s="11">
        <f>IF($A110="","",IFERROR(B110/C110,0))</f>
        <v/>
      </c>
      <c r="K110" s="11">
        <f>IF($A110="","",IFERROR(D110/E110,0))</f>
        <v/>
      </c>
      <c r="L110" s="12">
        <f>IF($A110="","",IFERROR(F110/7,0))</f>
        <v/>
      </c>
      <c r="M110" s="12">
        <f>IF($A110="","",ROUND(IFERROR(G110/7,0),0))</f>
        <v/>
      </c>
      <c r="N110" s="11">
        <f>IF($A110="","",IFERROR(H110/C110,0))</f>
        <v/>
      </c>
      <c r="O110" s="11">
        <f>IF($A110="","",IFERROR(B110/C110,0))</f>
        <v/>
      </c>
      <c r="P110" s="11">
        <f>IF($A110="","",MAX(0,AVERAGE(J110,K110,1-N110)))</f>
        <v/>
      </c>
    </row>
    <row r="111" ht="22" customHeight="1">
      <c r="A111" s="9" t="n"/>
      <c r="B111" s="10" t="n"/>
      <c r="C111" s="10" t="n"/>
      <c r="D111" s="10" t="n"/>
      <c r="E111" s="10" t="n"/>
      <c r="F111" s="10" t="n"/>
      <c r="G111" s="10" t="n"/>
      <c r="H111" s="10" t="n"/>
      <c r="I111" s="12">
        <f>IF($A111="","",MAX(C111-B111,0))</f>
        <v/>
      </c>
      <c r="J111" s="11">
        <f>IF($A111="","",IFERROR(B111/C111,0))</f>
        <v/>
      </c>
      <c r="K111" s="11">
        <f>IF($A111="","",IFERROR(D111/E111,0))</f>
        <v/>
      </c>
      <c r="L111" s="12">
        <f>IF($A111="","",IFERROR(F111/7,0))</f>
        <v/>
      </c>
      <c r="M111" s="12">
        <f>IF($A111="","",ROUND(IFERROR(G111/7,0),0))</f>
        <v/>
      </c>
      <c r="N111" s="11">
        <f>IF($A111="","",IFERROR(H111/C111,0))</f>
        <v/>
      </c>
      <c r="O111" s="11">
        <f>IF($A111="","",IFERROR(B111/C111,0))</f>
        <v/>
      </c>
      <c r="P111" s="11">
        <f>IF($A111="","",MAX(0,AVERAGE(J111,K111,1-N111)))</f>
        <v/>
      </c>
    </row>
    <row r="112" ht="22" customHeight="1">
      <c r="A112" s="9" t="n"/>
      <c r="B112" s="10" t="n"/>
      <c r="C112" s="10" t="n"/>
      <c r="D112" s="10" t="n"/>
      <c r="E112" s="10" t="n"/>
      <c r="F112" s="10" t="n"/>
      <c r="G112" s="10" t="n"/>
      <c r="H112" s="10" t="n"/>
      <c r="I112" s="12">
        <f>IF($A112="","",MAX(C112-B112,0))</f>
        <v/>
      </c>
      <c r="J112" s="11">
        <f>IF($A112="","",IFERROR(B112/C112,0))</f>
        <v/>
      </c>
      <c r="K112" s="11">
        <f>IF($A112="","",IFERROR(D112/E112,0))</f>
        <v/>
      </c>
      <c r="L112" s="12">
        <f>IF($A112="","",IFERROR(F112/7,0))</f>
        <v/>
      </c>
      <c r="M112" s="12">
        <f>IF($A112="","",ROUND(IFERROR(G112/7,0),0))</f>
        <v/>
      </c>
      <c r="N112" s="11">
        <f>IF($A112="","",IFERROR(H112/C112,0))</f>
        <v/>
      </c>
      <c r="O112" s="11">
        <f>IF($A112="","",IFERROR(B112/C112,0))</f>
        <v/>
      </c>
      <c r="P112" s="11">
        <f>IF($A112="","",MAX(0,AVERAGE(J112,K112,1-N112)))</f>
        <v/>
      </c>
    </row>
    <row r="113" ht="22" customHeight="1">
      <c r="A113" s="9" t="n"/>
      <c r="B113" s="10" t="n"/>
      <c r="C113" s="10" t="n"/>
      <c r="D113" s="10" t="n"/>
      <c r="E113" s="10" t="n"/>
      <c r="F113" s="10" t="n"/>
      <c r="G113" s="10" t="n"/>
      <c r="H113" s="10" t="n"/>
      <c r="I113" s="12">
        <f>IF($A113="","",MAX(C113-B113,0))</f>
        <v/>
      </c>
      <c r="J113" s="11">
        <f>IF($A113="","",IFERROR(B113/C113,0))</f>
        <v/>
      </c>
      <c r="K113" s="11">
        <f>IF($A113="","",IFERROR(D113/E113,0))</f>
        <v/>
      </c>
      <c r="L113" s="12">
        <f>IF($A113="","",IFERROR(F113/7,0))</f>
        <v/>
      </c>
      <c r="M113" s="12">
        <f>IF($A113="","",ROUND(IFERROR(G113/7,0),0))</f>
        <v/>
      </c>
      <c r="N113" s="11">
        <f>IF($A113="","",IFERROR(H113/C113,0))</f>
        <v/>
      </c>
      <c r="O113" s="11">
        <f>IF($A113="","",IFERROR(B113/C113,0))</f>
        <v/>
      </c>
      <c r="P113" s="11">
        <f>IF($A113="","",MAX(0,AVERAGE(J113,K113,1-N113)))</f>
        <v/>
      </c>
    </row>
    <row r="114" ht="22" customHeight="1">
      <c r="A114" s="9" t="n"/>
      <c r="B114" s="10" t="n"/>
      <c r="C114" s="10" t="n"/>
      <c r="D114" s="10" t="n"/>
      <c r="E114" s="10" t="n"/>
      <c r="F114" s="10" t="n"/>
      <c r="G114" s="10" t="n"/>
      <c r="H114" s="10" t="n"/>
      <c r="I114" s="12">
        <f>IF($A114="","",MAX(C114-B114,0))</f>
        <v/>
      </c>
      <c r="J114" s="11">
        <f>IF($A114="","",IFERROR(B114/C114,0))</f>
        <v/>
      </c>
      <c r="K114" s="11">
        <f>IF($A114="","",IFERROR(D114/E114,0))</f>
        <v/>
      </c>
      <c r="L114" s="12">
        <f>IF($A114="","",IFERROR(F114/7,0))</f>
        <v/>
      </c>
      <c r="M114" s="12">
        <f>IF($A114="","",ROUND(IFERROR(G114/7,0),0))</f>
        <v/>
      </c>
      <c r="N114" s="11">
        <f>IF($A114="","",IFERROR(H114/C114,0))</f>
        <v/>
      </c>
      <c r="O114" s="11">
        <f>IF($A114="","",IFERROR(B114/C114,0))</f>
        <v/>
      </c>
      <c r="P114" s="11">
        <f>IF($A114="","",MAX(0,AVERAGE(J114,K114,1-N114)))</f>
        <v/>
      </c>
    </row>
    <row r="115" ht="22" customHeight="1">
      <c r="A115" s="9" t="n"/>
      <c r="B115" s="10" t="n"/>
      <c r="C115" s="10" t="n"/>
      <c r="D115" s="10" t="n"/>
      <c r="E115" s="10" t="n"/>
      <c r="F115" s="10" t="n"/>
      <c r="G115" s="10" t="n"/>
      <c r="H115" s="10" t="n"/>
      <c r="I115" s="12">
        <f>IF($A115="","",MAX(C115-B115,0))</f>
        <v/>
      </c>
      <c r="J115" s="11">
        <f>IF($A115="","",IFERROR(B115/C115,0))</f>
        <v/>
      </c>
      <c r="K115" s="11">
        <f>IF($A115="","",IFERROR(D115/E115,0))</f>
        <v/>
      </c>
      <c r="L115" s="12">
        <f>IF($A115="","",IFERROR(F115/7,0))</f>
        <v/>
      </c>
      <c r="M115" s="12">
        <f>IF($A115="","",ROUND(IFERROR(G115/7,0),0))</f>
        <v/>
      </c>
      <c r="N115" s="11">
        <f>IF($A115="","",IFERROR(H115/C115,0))</f>
        <v/>
      </c>
      <c r="O115" s="11">
        <f>IF($A115="","",IFERROR(B115/C115,0))</f>
        <v/>
      </c>
      <c r="P115" s="11">
        <f>IF($A115="","",MAX(0,AVERAGE(J115,K115,1-N115)))</f>
        <v/>
      </c>
    </row>
    <row r="116" ht="22" customHeight="1">
      <c r="A116" s="9" t="n"/>
      <c r="B116" s="10" t="n"/>
      <c r="C116" s="10" t="n"/>
      <c r="D116" s="10" t="n"/>
      <c r="E116" s="10" t="n"/>
      <c r="F116" s="10" t="n"/>
      <c r="G116" s="10" t="n"/>
      <c r="H116" s="10" t="n"/>
      <c r="I116" s="12">
        <f>IF($A116="","",MAX(C116-B116,0))</f>
        <v/>
      </c>
      <c r="J116" s="11">
        <f>IF($A116="","",IFERROR(B116/C116,0))</f>
        <v/>
      </c>
      <c r="K116" s="11">
        <f>IF($A116="","",IFERROR(D116/E116,0))</f>
        <v/>
      </c>
      <c r="L116" s="12">
        <f>IF($A116="","",IFERROR(F116/7,0))</f>
        <v/>
      </c>
      <c r="M116" s="12">
        <f>IF($A116="","",ROUND(IFERROR(G116/7,0),0))</f>
        <v/>
      </c>
      <c r="N116" s="11">
        <f>IF($A116="","",IFERROR(H116/C116,0))</f>
        <v/>
      </c>
      <c r="O116" s="11">
        <f>IF($A116="","",IFERROR(B116/C116,0))</f>
        <v/>
      </c>
      <c r="P116" s="11">
        <f>IF($A116="","",MAX(0,AVERAGE(J116,K116,1-N116)))</f>
        <v/>
      </c>
    </row>
    <row r="117" ht="22" customHeight="1">
      <c r="A117" s="9" t="n"/>
      <c r="B117" s="10" t="n"/>
      <c r="C117" s="10" t="n"/>
      <c r="D117" s="10" t="n"/>
      <c r="E117" s="10" t="n"/>
      <c r="F117" s="10" t="n"/>
      <c r="G117" s="10" t="n"/>
      <c r="H117" s="10" t="n"/>
      <c r="I117" s="12">
        <f>IF($A117="","",MAX(C117-B117,0))</f>
        <v/>
      </c>
      <c r="J117" s="11">
        <f>IF($A117="","",IFERROR(B117/C117,0))</f>
        <v/>
      </c>
      <c r="K117" s="11">
        <f>IF($A117="","",IFERROR(D117/E117,0))</f>
        <v/>
      </c>
      <c r="L117" s="12">
        <f>IF($A117="","",IFERROR(F117/7,0))</f>
        <v/>
      </c>
      <c r="M117" s="12">
        <f>IF($A117="","",ROUND(IFERROR(G117/7,0),0))</f>
        <v/>
      </c>
      <c r="N117" s="11">
        <f>IF($A117="","",IFERROR(H117/C117,0))</f>
        <v/>
      </c>
      <c r="O117" s="11">
        <f>IF($A117="","",IFERROR(B117/C117,0))</f>
        <v/>
      </c>
      <c r="P117" s="11">
        <f>IF($A117="","",MAX(0,AVERAGE(J117,K117,1-N117)))</f>
        <v/>
      </c>
    </row>
    <row r="118" ht="22" customHeight="1">
      <c r="A118" s="9" t="n"/>
      <c r="B118" s="10" t="n"/>
      <c r="C118" s="10" t="n"/>
      <c r="D118" s="10" t="n"/>
      <c r="E118" s="10" t="n"/>
      <c r="F118" s="10" t="n"/>
      <c r="G118" s="10" t="n"/>
      <c r="H118" s="10" t="n"/>
      <c r="I118" s="12">
        <f>IF($A118="","",MAX(C118-B118,0))</f>
        <v/>
      </c>
      <c r="J118" s="11">
        <f>IF($A118="","",IFERROR(B118/C118,0))</f>
        <v/>
      </c>
      <c r="K118" s="11">
        <f>IF($A118="","",IFERROR(D118/E118,0))</f>
        <v/>
      </c>
      <c r="L118" s="12">
        <f>IF($A118="","",IFERROR(F118/7,0))</f>
        <v/>
      </c>
      <c r="M118" s="12">
        <f>IF($A118="","",ROUND(IFERROR(G118/7,0),0))</f>
        <v/>
      </c>
      <c r="N118" s="11">
        <f>IF($A118="","",IFERROR(H118/C118,0))</f>
        <v/>
      </c>
      <c r="O118" s="11">
        <f>IF($A118="","",IFERROR(B118/C118,0))</f>
        <v/>
      </c>
      <c r="P118" s="11">
        <f>IF($A118="","",MAX(0,AVERAGE(J118,K118,1-N118)))</f>
        <v/>
      </c>
    </row>
    <row r="119" ht="22" customHeight="1">
      <c r="A119" s="9" t="n"/>
      <c r="B119" s="10" t="n"/>
      <c r="C119" s="10" t="n"/>
      <c r="D119" s="10" t="n"/>
      <c r="E119" s="10" t="n"/>
      <c r="F119" s="10" t="n"/>
      <c r="G119" s="10" t="n"/>
      <c r="H119" s="10" t="n"/>
      <c r="I119" s="12">
        <f>IF($A119="","",MAX(C119-B119,0))</f>
        <v/>
      </c>
      <c r="J119" s="11">
        <f>IF($A119="","",IFERROR(B119/C119,0))</f>
        <v/>
      </c>
      <c r="K119" s="11">
        <f>IF($A119="","",IFERROR(D119/E119,0))</f>
        <v/>
      </c>
      <c r="L119" s="12">
        <f>IF($A119="","",IFERROR(F119/7,0))</f>
        <v/>
      </c>
      <c r="M119" s="12">
        <f>IF($A119="","",ROUND(IFERROR(G119/7,0),0))</f>
        <v/>
      </c>
      <c r="N119" s="11">
        <f>IF($A119="","",IFERROR(H119/C119,0))</f>
        <v/>
      </c>
      <c r="O119" s="11">
        <f>IF($A119="","",IFERROR(B119/C119,0))</f>
        <v/>
      </c>
      <c r="P119" s="11">
        <f>IF($A119="","",MAX(0,AVERAGE(J119,K119,1-N119)))</f>
        <v/>
      </c>
    </row>
    <row r="120" ht="22" customHeight="1">
      <c r="A120" s="9" t="n"/>
      <c r="B120" s="10" t="n"/>
      <c r="C120" s="10" t="n"/>
      <c r="D120" s="10" t="n"/>
      <c r="E120" s="10" t="n"/>
      <c r="F120" s="10" t="n"/>
      <c r="G120" s="10" t="n"/>
      <c r="H120" s="10" t="n"/>
      <c r="I120" s="12">
        <f>IF($A120="","",MAX(C120-B120,0))</f>
        <v/>
      </c>
      <c r="J120" s="11">
        <f>IF($A120="","",IFERROR(B120/C120,0))</f>
        <v/>
      </c>
      <c r="K120" s="11">
        <f>IF($A120="","",IFERROR(D120/E120,0))</f>
        <v/>
      </c>
      <c r="L120" s="12">
        <f>IF($A120="","",IFERROR(F120/7,0))</f>
        <v/>
      </c>
      <c r="M120" s="12">
        <f>IF($A120="","",ROUND(IFERROR(G120/7,0),0))</f>
        <v/>
      </c>
      <c r="N120" s="11">
        <f>IF($A120="","",IFERROR(H120/C120,0))</f>
        <v/>
      </c>
      <c r="O120" s="11">
        <f>IF($A120="","",IFERROR(B120/C120,0))</f>
        <v/>
      </c>
      <c r="P120" s="11">
        <f>IF($A120="","",MAX(0,AVERAGE(J120,K120,1-N120)))</f>
        <v/>
      </c>
    </row>
    <row r="121" ht="22" customHeight="1">
      <c r="A121" s="9" t="n"/>
      <c r="B121" s="10" t="n"/>
      <c r="C121" s="10" t="n"/>
      <c r="D121" s="10" t="n"/>
      <c r="E121" s="10" t="n"/>
      <c r="F121" s="10" t="n"/>
      <c r="G121" s="10" t="n"/>
      <c r="H121" s="10" t="n"/>
      <c r="I121" s="12">
        <f>IF($A121="","",MAX(C121-B121,0))</f>
        <v/>
      </c>
      <c r="J121" s="11">
        <f>IF($A121="","",IFERROR(B121/C121,0))</f>
        <v/>
      </c>
      <c r="K121" s="11">
        <f>IF($A121="","",IFERROR(D121/E121,0))</f>
        <v/>
      </c>
      <c r="L121" s="12">
        <f>IF($A121="","",IFERROR(F121/7,0))</f>
        <v/>
      </c>
      <c r="M121" s="12">
        <f>IF($A121="","",ROUND(IFERROR(G121/7,0),0))</f>
        <v/>
      </c>
      <c r="N121" s="11">
        <f>IF($A121="","",IFERROR(H121/C121,0))</f>
        <v/>
      </c>
      <c r="O121" s="11">
        <f>IF($A121="","",IFERROR(B121/C121,0))</f>
        <v/>
      </c>
      <c r="P121" s="11">
        <f>IF($A121="","",MAX(0,AVERAGE(J121,K121,1-N121)))</f>
        <v/>
      </c>
    </row>
    <row r="122" ht="22" customHeight="1">
      <c r="A122" s="9" t="n"/>
      <c r="B122" s="10" t="n"/>
      <c r="C122" s="10" t="n"/>
      <c r="D122" s="10" t="n"/>
      <c r="E122" s="10" t="n"/>
      <c r="F122" s="10" t="n"/>
      <c r="G122" s="10" t="n"/>
      <c r="H122" s="10" t="n"/>
      <c r="I122" s="12">
        <f>IF($A122="","",MAX(C122-B122,0))</f>
        <v/>
      </c>
      <c r="J122" s="11">
        <f>IF($A122="","",IFERROR(B122/C122,0))</f>
        <v/>
      </c>
      <c r="K122" s="11">
        <f>IF($A122="","",IFERROR(D122/E122,0))</f>
        <v/>
      </c>
      <c r="L122" s="12">
        <f>IF($A122="","",IFERROR(F122/7,0))</f>
        <v/>
      </c>
      <c r="M122" s="12">
        <f>IF($A122="","",ROUND(IFERROR(G122/7,0),0))</f>
        <v/>
      </c>
      <c r="N122" s="11">
        <f>IF($A122="","",IFERROR(H122/C122,0))</f>
        <v/>
      </c>
      <c r="O122" s="11">
        <f>IF($A122="","",IFERROR(B122/C122,0))</f>
        <v/>
      </c>
      <c r="P122" s="11">
        <f>IF($A122="","",MAX(0,AVERAGE(J122,K122,1-N122)))</f>
        <v/>
      </c>
    </row>
    <row r="123" ht="22" customHeight="1">
      <c r="A123" s="9" t="n"/>
      <c r="B123" s="10" t="n"/>
      <c r="C123" s="10" t="n"/>
      <c r="D123" s="10" t="n"/>
      <c r="E123" s="10" t="n"/>
      <c r="F123" s="10" t="n"/>
      <c r="G123" s="10" t="n"/>
      <c r="H123" s="10" t="n"/>
      <c r="I123" s="12">
        <f>IF($A123="","",MAX(C123-B123,0))</f>
        <v/>
      </c>
      <c r="J123" s="11">
        <f>IF($A123="","",IFERROR(B123/C123,0))</f>
        <v/>
      </c>
      <c r="K123" s="11">
        <f>IF($A123="","",IFERROR(D123/E123,0))</f>
        <v/>
      </c>
      <c r="L123" s="12">
        <f>IF($A123="","",IFERROR(F123/7,0))</f>
        <v/>
      </c>
      <c r="M123" s="12">
        <f>IF($A123="","",ROUND(IFERROR(G123/7,0),0))</f>
        <v/>
      </c>
      <c r="N123" s="11">
        <f>IF($A123="","",IFERROR(H123/C123,0))</f>
        <v/>
      </c>
      <c r="O123" s="11">
        <f>IF($A123="","",IFERROR(B123/C123,0))</f>
        <v/>
      </c>
      <c r="P123" s="11">
        <f>IF($A123="","",MAX(0,AVERAGE(J123,K123,1-N123)))</f>
        <v/>
      </c>
    </row>
    <row r="124" ht="22" customHeight="1">
      <c r="A124" s="9" t="n"/>
      <c r="B124" s="10" t="n"/>
      <c r="C124" s="10" t="n"/>
      <c r="D124" s="10" t="n"/>
      <c r="E124" s="10" t="n"/>
      <c r="F124" s="10" t="n"/>
      <c r="G124" s="10" t="n"/>
      <c r="H124" s="10" t="n"/>
      <c r="I124" s="12">
        <f>IF($A124="","",MAX(C124-B124,0))</f>
        <v/>
      </c>
      <c r="J124" s="11">
        <f>IF($A124="","",IFERROR(B124/C124,0))</f>
        <v/>
      </c>
      <c r="K124" s="11">
        <f>IF($A124="","",IFERROR(D124/E124,0))</f>
        <v/>
      </c>
      <c r="L124" s="12">
        <f>IF($A124="","",IFERROR(F124/7,0))</f>
        <v/>
      </c>
      <c r="M124" s="12">
        <f>IF($A124="","",ROUND(IFERROR(G124/7,0),0))</f>
        <v/>
      </c>
      <c r="N124" s="11">
        <f>IF($A124="","",IFERROR(H124/C124,0))</f>
        <v/>
      </c>
      <c r="O124" s="11">
        <f>IF($A124="","",IFERROR(B124/C124,0))</f>
        <v/>
      </c>
      <c r="P124" s="11">
        <f>IF($A124="","",MAX(0,AVERAGE(J124,K124,1-N124)))</f>
        <v/>
      </c>
    </row>
    <row r="125" ht="22" customHeight="1">
      <c r="A125" s="9" t="n"/>
      <c r="B125" s="10" t="n"/>
      <c r="C125" s="10" t="n"/>
      <c r="D125" s="10" t="n"/>
      <c r="E125" s="10" t="n"/>
      <c r="F125" s="10" t="n"/>
      <c r="G125" s="10" t="n"/>
      <c r="H125" s="10" t="n"/>
      <c r="I125" s="12">
        <f>IF($A125="","",MAX(C125-B125,0))</f>
        <v/>
      </c>
      <c r="J125" s="11">
        <f>IF($A125="","",IFERROR(B125/C125,0))</f>
        <v/>
      </c>
      <c r="K125" s="11">
        <f>IF($A125="","",IFERROR(D125/E125,0))</f>
        <v/>
      </c>
      <c r="L125" s="12">
        <f>IF($A125="","",IFERROR(F125/7,0))</f>
        <v/>
      </c>
      <c r="M125" s="12">
        <f>IF($A125="","",ROUND(IFERROR(G125/7,0),0))</f>
        <v/>
      </c>
      <c r="N125" s="11">
        <f>IF($A125="","",IFERROR(H125/C125,0))</f>
        <v/>
      </c>
      <c r="O125" s="11">
        <f>IF($A125="","",IFERROR(B125/C125,0))</f>
        <v/>
      </c>
      <c r="P125" s="11">
        <f>IF($A125="","",MAX(0,AVERAGE(J125,K125,1-N125)))</f>
        <v/>
      </c>
    </row>
    <row r="126" ht="22" customHeight="1">
      <c r="A126" s="9" t="n"/>
      <c r="B126" s="10" t="n"/>
      <c r="C126" s="10" t="n"/>
      <c r="D126" s="10" t="n"/>
      <c r="E126" s="10" t="n"/>
      <c r="F126" s="10" t="n"/>
      <c r="G126" s="10" t="n"/>
      <c r="H126" s="10" t="n"/>
      <c r="I126" s="12">
        <f>IF($A126="","",MAX(C126-B126,0))</f>
        <v/>
      </c>
      <c r="J126" s="11">
        <f>IF($A126="","",IFERROR(B126/C126,0))</f>
        <v/>
      </c>
      <c r="K126" s="11">
        <f>IF($A126="","",IFERROR(D126/E126,0))</f>
        <v/>
      </c>
      <c r="L126" s="12">
        <f>IF($A126="","",IFERROR(F126/7,0))</f>
        <v/>
      </c>
      <c r="M126" s="12">
        <f>IF($A126="","",ROUND(IFERROR(G126/7,0),0))</f>
        <v/>
      </c>
      <c r="N126" s="11">
        <f>IF($A126="","",IFERROR(H126/C126,0))</f>
        <v/>
      </c>
      <c r="O126" s="11">
        <f>IF($A126="","",IFERROR(B126/C126,0))</f>
        <v/>
      </c>
      <c r="P126" s="11">
        <f>IF($A126="","",MAX(0,AVERAGE(J126,K126,1-N126)))</f>
        <v/>
      </c>
    </row>
    <row r="127" ht="22" customHeight="1">
      <c r="A127" s="9" t="n"/>
      <c r="B127" s="10" t="n"/>
      <c r="C127" s="10" t="n"/>
      <c r="D127" s="10" t="n"/>
      <c r="E127" s="10" t="n"/>
      <c r="F127" s="10" t="n"/>
      <c r="G127" s="10" t="n"/>
      <c r="H127" s="10" t="n"/>
      <c r="I127" s="12">
        <f>IF($A127="","",MAX(C127-B127,0))</f>
        <v/>
      </c>
      <c r="J127" s="11">
        <f>IF($A127="","",IFERROR(B127/C127,0))</f>
        <v/>
      </c>
      <c r="K127" s="11">
        <f>IF($A127="","",IFERROR(D127/E127,0))</f>
        <v/>
      </c>
      <c r="L127" s="12">
        <f>IF($A127="","",IFERROR(F127/7,0))</f>
        <v/>
      </c>
      <c r="M127" s="12">
        <f>IF($A127="","",ROUND(IFERROR(G127/7,0),0))</f>
        <v/>
      </c>
      <c r="N127" s="11">
        <f>IF($A127="","",IFERROR(H127/C127,0))</f>
        <v/>
      </c>
      <c r="O127" s="11">
        <f>IF($A127="","",IFERROR(B127/C127,0))</f>
        <v/>
      </c>
      <c r="P127" s="11">
        <f>IF($A127="","",MAX(0,AVERAGE(J127,K127,1-N127)))</f>
        <v/>
      </c>
    </row>
    <row r="128" ht="22" customHeight="1">
      <c r="A128" s="9" t="n"/>
      <c r="B128" s="10" t="n"/>
      <c r="C128" s="10" t="n"/>
      <c r="D128" s="10" t="n"/>
      <c r="E128" s="10" t="n"/>
      <c r="F128" s="10" t="n"/>
      <c r="G128" s="10" t="n"/>
      <c r="H128" s="10" t="n"/>
      <c r="I128" s="12">
        <f>IF($A128="","",MAX(C128-B128,0))</f>
        <v/>
      </c>
      <c r="J128" s="11">
        <f>IF($A128="","",IFERROR(B128/C128,0))</f>
        <v/>
      </c>
      <c r="K128" s="11">
        <f>IF($A128="","",IFERROR(D128/E128,0))</f>
        <v/>
      </c>
      <c r="L128" s="12">
        <f>IF($A128="","",IFERROR(F128/7,0))</f>
        <v/>
      </c>
      <c r="M128" s="12">
        <f>IF($A128="","",ROUND(IFERROR(G128/7,0),0))</f>
        <v/>
      </c>
      <c r="N128" s="11">
        <f>IF($A128="","",IFERROR(H128/C128,0))</f>
        <v/>
      </c>
      <c r="O128" s="11">
        <f>IF($A128="","",IFERROR(B128/C128,0))</f>
        <v/>
      </c>
      <c r="P128" s="11">
        <f>IF($A128="","",MAX(0,AVERAGE(J128,K128,1-N128)))</f>
        <v/>
      </c>
    </row>
    <row r="129" ht="22" customHeight="1">
      <c r="A129" s="9" t="n"/>
      <c r="B129" s="10" t="n"/>
      <c r="C129" s="10" t="n"/>
      <c r="D129" s="10" t="n"/>
      <c r="E129" s="10" t="n"/>
      <c r="F129" s="10" t="n"/>
      <c r="G129" s="10" t="n"/>
      <c r="H129" s="10" t="n"/>
      <c r="I129" s="12">
        <f>IF($A129="","",MAX(C129-B129,0))</f>
        <v/>
      </c>
      <c r="J129" s="11">
        <f>IF($A129="","",IFERROR(B129/C129,0))</f>
        <v/>
      </c>
      <c r="K129" s="11">
        <f>IF($A129="","",IFERROR(D129/E129,0))</f>
        <v/>
      </c>
      <c r="L129" s="12">
        <f>IF($A129="","",IFERROR(F129/7,0))</f>
        <v/>
      </c>
      <c r="M129" s="12">
        <f>IF($A129="","",ROUND(IFERROR(G129/7,0),0))</f>
        <v/>
      </c>
      <c r="N129" s="11">
        <f>IF($A129="","",IFERROR(H129/C129,0))</f>
        <v/>
      </c>
      <c r="O129" s="11">
        <f>IF($A129="","",IFERROR(B129/C129,0))</f>
        <v/>
      </c>
      <c r="P129" s="11">
        <f>IF($A129="","",MAX(0,AVERAGE(J129,K129,1-N129)))</f>
        <v/>
      </c>
    </row>
    <row r="130" ht="22" customHeight="1">
      <c r="A130" s="9" t="n"/>
      <c r="B130" s="10" t="n"/>
      <c r="C130" s="10" t="n"/>
      <c r="D130" s="10" t="n"/>
      <c r="E130" s="10" t="n"/>
      <c r="F130" s="10" t="n"/>
      <c r="G130" s="10" t="n"/>
      <c r="H130" s="10" t="n"/>
      <c r="I130" s="12">
        <f>IF($A130="","",MAX(C130-B130,0))</f>
        <v/>
      </c>
      <c r="J130" s="11">
        <f>IF($A130="","",IFERROR(B130/C130,0))</f>
        <v/>
      </c>
      <c r="K130" s="11">
        <f>IF($A130="","",IFERROR(D130/E130,0))</f>
        <v/>
      </c>
      <c r="L130" s="12">
        <f>IF($A130="","",IFERROR(F130/7,0))</f>
        <v/>
      </c>
      <c r="M130" s="12">
        <f>IF($A130="","",ROUND(IFERROR(G130/7,0),0))</f>
        <v/>
      </c>
      <c r="N130" s="11">
        <f>IF($A130="","",IFERROR(H130/C130,0))</f>
        <v/>
      </c>
      <c r="O130" s="11">
        <f>IF($A130="","",IFERROR(B130/C130,0))</f>
        <v/>
      </c>
      <c r="P130" s="11">
        <f>IF($A130="","",MAX(0,AVERAGE(J130,K130,1-N130)))</f>
        <v/>
      </c>
    </row>
    <row r="131" ht="22" customHeight="1">
      <c r="A131" s="9" t="n"/>
      <c r="B131" s="10" t="n"/>
      <c r="C131" s="10" t="n"/>
      <c r="D131" s="10" t="n"/>
      <c r="E131" s="10" t="n"/>
      <c r="F131" s="10" t="n"/>
      <c r="G131" s="10" t="n"/>
      <c r="H131" s="10" t="n"/>
      <c r="I131" s="12">
        <f>IF($A131="","",MAX(C131-B131,0))</f>
        <v/>
      </c>
      <c r="J131" s="11">
        <f>IF($A131="","",IFERROR(B131/C131,0))</f>
        <v/>
      </c>
      <c r="K131" s="11">
        <f>IF($A131="","",IFERROR(D131/E131,0))</f>
        <v/>
      </c>
      <c r="L131" s="12">
        <f>IF($A131="","",IFERROR(F131/7,0))</f>
        <v/>
      </c>
      <c r="M131" s="12">
        <f>IF($A131="","",ROUND(IFERROR(G131/7,0),0))</f>
        <v/>
      </c>
      <c r="N131" s="11">
        <f>IF($A131="","",IFERROR(H131/C131,0))</f>
        <v/>
      </c>
      <c r="O131" s="11">
        <f>IF($A131="","",IFERROR(B131/C131,0))</f>
        <v/>
      </c>
      <c r="P131" s="11">
        <f>IF($A131="","",MAX(0,AVERAGE(J131,K131,1-N131)))</f>
        <v/>
      </c>
    </row>
    <row r="132" ht="22" customHeight="1">
      <c r="A132" s="9" t="n"/>
      <c r="B132" s="10" t="n"/>
      <c r="C132" s="10" t="n"/>
      <c r="D132" s="10" t="n"/>
      <c r="E132" s="10" t="n"/>
      <c r="F132" s="10" t="n"/>
      <c r="G132" s="10" t="n"/>
      <c r="H132" s="10" t="n"/>
      <c r="I132" s="12">
        <f>IF($A132="","",MAX(C132-B132,0))</f>
        <v/>
      </c>
      <c r="J132" s="11">
        <f>IF($A132="","",IFERROR(B132/C132,0))</f>
        <v/>
      </c>
      <c r="K132" s="11">
        <f>IF($A132="","",IFERROR(D132/E132,0))</f>
        <v/>
      </c>
      <c r="L132" s="12">
        <f>IF($A132="","",IFERROR(F132/7,0))</f>
        <v/>
      </c>
      <c r="M132" s="12">
        <f>IF($A132="","",ROUND(IFERROR(G132/7,0),0))</f>
        <v/>
      </c>
      <c r="N132" s="11">
        <f>IF($A132="","",IFERROR(H132/C132,0))</f>
        <v/>
      </c>
      <c r="O132" s="11">
        <f>IF($A132="","",IFERROR(B132/C132,0))</f>
        <v/>
      </c>
      <c r="P132" s="11">
        <f>IF($A132="","",MAX(0,AVERAGE(J132,K132,1-N132)))</f>
        <v/>
      </c>
    </row>
    <row r="133" ht="22" customHeight="1">
      <c r="A133" s="9" t="n"/>
      <c r="B133" s="10" t="n"/>
      <c r="C133" s="10" t="n"/>
      <c r="D133" s="10" t="n"/>
      <c r="E133" s="10" t="n"/>
      <c r="F133" s="10" t="n"/>
      <c r="G133" s="10" t="n"/>
      <c r="H133" s="10" t="n"/>
      <c r="I133" s="12">
        <f>IF($A133="","",MAX(C133-B133,0))</f>
        <v/>
      </c>
      <c r="J133" s="11">
        <f>IF($A133="","",IFERROR(B133/C133,0))</f>
        <v/>
      </c>
      <c r="K133" s="11">
        <f>IF($A133="","",IFERROR(D133/E133,0))</f>
        <v/>
      </c>
      <c r="L133" s="12">
        <f>IF($A133="","",IFERROR(F133/7,0))</f>
        <v/>
      </c>
      <c r="M133" s="12">
        <f>IF($A133="","",ROUND(IFERROR(G133/7,0),0))</f>
        <v/>
      </c>
      <c r="N133" s="11">
        <f>IF($A133="","",IFERROR(H133/C133,0))</f>
        <v/>
      </c>
      <c r="O133" s="11">
        <f>IF($A133="","",IFERROR(B133/C133,0))</f>
        <v/>
      </c>
      <c r="P133" s="11">
        <f>IF($A133="","",MAX(0,AVERAGE(J133,K133,1-N133)))</f>
        <v/>
      </c>
    </row>
    <row r="134" ht="22" customHeight="1">
      <c r="A134" s="9" t="n"/>
      <c r="B134" s="10" t="n"/>
      <c r="C134" s="10" t="n"/>
      <c r="D134" s="10" t="n"/>
      <c r="E134" s="10" t="n"/>
      <c r="F134" s="10" t="n"/>
      <c r="G134" s="10" t="n"/>
      <c r="H134" s="10" t="n"/>
      <c r="I134" s="12">
        <f>IF($A134="","",MAX(C134-B134,0))</f>
        <v/>
      </c>
      <c r="J134" s="11">
        <f>IF($A134="","",IFERROR(B134/C134,0))</f>
        <v/>
      </c>
      <c r="K134" s="11">
        <f>IF($A134="","",IFERROR(D134/E134,0))</f>
        <v/>
      </c>
      <c r="L134" s="12">
        <f>IF($A134="","",IFERROR(F134/7,0))</f>
        <v/>
      </c>
      <c r="M134" s="12">
        <f>IF($A134="","",ROUND(IFERROR(G134/7,0),0))</f>
        <v/>
      </c>
      <c r="N134" s="11">
        <f>IF($A134="","",IFERROR(H134/C134,0))</f>
        <v/>
      </c>
      <c r="O134" s="11">
        <f>IF($A134="","",IFERROR(B134/C134,0))</f>
        <v/>
      </c>
      <c r="P134" s="11">
        <f>IF($A134="","",MAX(0,AVERAGE(J134,K134,1-N134)))</f>
        <v/>
      </c>
    </row>
    <row r="135" ht="22" customHeight="1">
      <c r="A135" s="9" t="n"/>
      <c r="B135" s="10" t="n"/>
      <c r="C135" s="10" t="n"/>
      <c r="D135" s="10" t="n"/>
      <c r="E135" s="10" t="n"/>
      <c r="F135" s="10" t="n"/>
      <c r="G135" s="10" t="n"/>
      <c r="H135" s="10" t="n"/>
      <c r="I135" s="12">
        <f>IF($A135="","",MAX(C135-B135,0))</f>
        <v/>
      </c>
      <c r="J135" s="11">
        <f>IF($A135="","",IFERROR(B135/C135,0))</f>
        <v/>
      </c>
      <c r="K135" s="11">
        <f>IF($A135="","",IFERROR(D135/E135,0))</f>
        <v/>
      </c>
      <c r="L135" s="12">
        <f>IF($A135="","",IFERROR(F135/7,0))</f>
        <v/>
      </c>
      <c r="M135" s="12">
        <f>IF($A135="","",ROUND(IFERROR(G135/7,0),0))</f>
        <v/>
      </c>
      <c r="N135" s="11">
        <f>IF($A135="","",IFERROR(H135/C135,0))</f>
        <v/>
      </c>
      <c r="O135" s="11">
        <f>IF($A135="","",IFERROR(B135/C135,0))</f>
        <v/>
      </c>
      <c r="P135" s="11">
        <f>IF($A135="","",MAX(0,AVERAGE(J135,K135,1-N135)))</f>
        <v/>
      </c>
    </row>
    <row r="136" ht="22" customHeight="1">
      <c r="A136" s="9" t="n"/>
      <c r="B136" s="10" t="n"/>
      <c r="C136" s="10" t="n"/>
      <c r="D136" s="10" t="n"/>
      <c r="E136" s="10" t="n"/>
      <c r="F136" s="10" t="n"/>
      <c r="G136" s="10" t="n"/>
      <c r="H136" s="10" t="n"/>
      <c r="I136" s="12">
        <f>IF($A136="","",MAX(C136-B136,0))</f>
        <v/>
      </c>
      <c r="J136" s="11">
        <f>IF($A136="","",IFERROR(B136/C136,0))</f>
        <v/>
      </c>
      <c r="K136" s="11">
        <f>IF($A136="","",IFERROR(D136/E136,0))</f>
        <v/>
      </c>
      <c r="L136" s="12">
        <f>IF($A136="","",IFERROR(F136/7,0))</f>
        <v/>
      </c>
      <c r="M136" s="12">
        <f>IF($A136="","",ROUND(IFERROR(G136/7,0),0))</f>
        <v/>
      </c>
      <c r="N136" s="11">
        <f>IF($A136="","",IFERROR(H136/C136,0))</f>
        <v/>
      </c>
      <c r="O136" s="11">
        <f>IF($A136="","",IFERROR(B136/C136,0))</f>
        <v/>
      </c>
      <c r="P136" s="11">
        <f>IF($A136="","",MAX(0,AVERAGE(J136,K136,1-N136)))</f>
        <v/>
      </c>
    </row>
    <row r="137" ht="22" customHeight="1">
      <c r="A137" s="9" t="n"/>
      <c r="B137" s="10" t="n"/>
      <c r="C137" s="10" t="n"/>
      <c r="D137" s="10" t="n"/>
      <c r="E137" s="10" t="n"/>
      <c r="F137" s="10" t="n"/>
      <c r="G137" s="10" t="n"/>
      <c r="H137" s="10" t="n"/>
      <c r="I137" s="12">
        <f>IF($A137="","",MAX(C137-B137,0))</f>
        <v/>
      </c>
      <c r="J137" s="11">
        <f>IF($A137="","",IFERROR(B137/C137,0))</f>
        <v/>
      </c>
      <c r="K137" s="11">
        <f>IF($A137="","",IFERROR(D137/E137,0))</f>
        <v/>
      </c>
      <c r="L137" s="12">
        <f>IF($A137="","",IFERROR(F137/7,0))</f>
        <v/>
      </c>
      <c r="M137" s="12">
        <f>IF($A137="","",ROUND(IFERROR(G137/7,0),0))</f>
        <v/>
      </c>
      <c r="N137" s="11">
        <f>IF($A137="","",IFERROR(H137/C137,0))</f>
        <v/>
      </c>
      <c r="O137" s="11">
        <f>IF($A137="","",IFERROR(B137/C137,0))</f>
        <v/>
      </c>
      <c r="P137" s="11">
        <f>IF($A137="","",MAX(0,AVERAGE(J137,K137,1-N137)))</f>
        <v/>
      </c>
    </row>
    <row r="138" ht="22" customHeight="1">
      <c r="A138" s="9" t="n"/>
      <c r="B138" s="10" t="n"/>
      <c r="C138" s="10" t="n"/>
      <c r="D138" s="10" t="n"/>
      <c r="E138" s="10" t="n"/>
      <c r="F138" s="10" t="n"/>
      <c r="G138" s="10" t="n"/>
      <c r="H138" s="10" t="n"/>
      <c r="I138" s="12">
        <f>IF($A138="","",MAX(C138-B138,0))</f>
        <v/>
      </c>
      <c r="J138" s="11">
        <f>IF($A138="","",IFERROR(B138/C138,0))</f>
        <v/>
      </c>
      <c r="K138" s="11">
        <f>IF($A138="","",IFERROR(D138/E138,0))</f>
        <v/>
      </c>
      <c r="L138" s="12">
        <f>IF($A138="","",IFERROR(F138/7,0))</f>
        <v/>
      </c>
      <c r="M138" s="12">
        <f>IF($A138="","",ROUND(IFERROR(G138/7,0),0))</f>
        <v/>
      </c>
      <c r="N138" s="11">
        <f>IF($A138="","",IFERROR(H138/C138,0))</f>
        <v/>
      </c>
      <c r="O138" s="11">
        <f>IF($A138="","",IFERROR(B138/C138,0))</f>
        <v/>
      </c>
      <c r="P138" s="11">
        <f>IF($A138="","",MAX(0,AVERAGE(J138,K138,1-N138)))</f>
        <v/>
      </c>
    </row>
    <row r="139" ht="22" customHeight="1">
      <c r="A139" s="9" t="n"/>
      <c r="B139" s="10" t="n"/>
      <c r="C139" s="10" t="n"/>
      <c r="D139" s="10" t="n"/>
      <c r="E139" s="10" t="n"/>
      <c r="F139" s="10" t="n"/>
      <c r="G139" s="10" t="n"/>
      <c r="H139" s="10" t="n"/>
      <c r="I139" s="12">
        <f>IF($A139="","",MAX(C139-B139,0))</f>
        <v/>
      </c>
      <c r="J139" s="11">
        <f>IF($A139="","",IFERROR(B139/C139,0))</f>
        <v/>
      </c>
      <c r="K139" s="11">
        <f>IF($A139="","",IFERROR(D139/E139,0))</f>
        <v/>
      </c>
      <c r="L139" s="12">
        <f>IF($A139="","",IFERROR(F139/7,0))</f>
        <v/>
      </c>
      <c r="M139" s="12">
        <f>IF($A139="","",ROUND(IFERROR(G139/7,0),0))</f>
        <v/>
      </c>
      <c r="N139" s="11">
        <f>IF($A139="","",IFERROR(H139/C139,0))</f>
        <v/>
      </c>
      <c r="O139" s="11">
        <f>IF($A139="","",IFERROR(B139/C139,0))</f>
        <v/>
      </c>
      <c r="P139" s="11">
        <f>IF($A139="","",MAX(0,AVERAGE(J139,K139,1-N139)))</f>
        <v/>
      </c>
    </row>
    <row r="140" ht="22" customHeight="1">
      <c r="A140" s="9" t="n"/>
      <c r="B140" s="10" t="n"/>
      <c r="C140" s="10" t="n"/>
      <c r="D140" s="10" t="n"/>
      <c r="E140" s="10" t="n"/>
      <c r="F140" s="10" t="n"/>
      <c r="G140" s="10" t="n"/>
      <c r="H140" s="10" t="n"/>
      <c r="I140" s="12">
        <f>IF($A140="","",MAX(C140-B140,0))</f>
        <v/>
      </c>
      <c r="J140" s="11">
        <f>IF($A140="","",IFERROR(B140/C140,0))</f>
        <v/>
      </c>
      <c r="K140" s="11">
        <f>IF($A140="","",IFERROR(D140/E140,0))</f>
        <v/>
      </c>
      <c r="L140" s="12">
        <f>IF($A140="","",IFERROR(F140/7,0))</f>
        <v/>
      </c>
      <c r="M140" s="12">
        <f>IF($A140="","",ROUND(IFERROR(G140/7,0),0))</f>
        <v/>
      </c>
      <c r="N140" s="11">
        <f>IF($A140="","",IFERROR(H140/C140,0))</f>
        <v/>
      </c>
      <c r="O140" s="11">
        <f>IF($A140="","",IFERROR(B140/C140,0))</f>
        <v/>
      </c>
      <c r="P140" s="11">
        <f>IF($A140="","",MAX(0,AVERAGE(J140,K140,1-N140)))</f>
        <v/>
      </c>
    </row>
    <row r="141" ht="22" customHeight="1">
      <c r="A141" s="9" t="n"/>
      <c r="B141" s="10" t="n"/>
      <c r="C141" s="10" t="n"/>
      <c r="D141" s="10" t="n"/>
      <c r="E141" s="10" t="n"/>
      <c r="F141" s="10" t="n"/>
      <c r="G141" s="10" t="n"/>
      <c r="H141" s="10" t="n"/>
      <c r="I141" s="12">
        <f>IF($A141="","",MAX(C141-B141,0))</f>
        <v/>
      </c>
      <c r="J141" s="11">
        <f>IF($A141="","",IFERROR(B141/C141,0))</f>
        <v/>
      </c>
      <c r="K141" s="11">
        <f>IF($A141="","",IFERROR(D141/E141,0))</f>
        <v/>
      </c>
      <c r="L141" s="12">
        <f>IF($A141="","",IFERROR(F141/7,0))</f>
        <v/>
      </c>
      <c r="M141" s="12">
        <f>IF($A141="","",ROUND(IFERROR(G141/7,0),0))</f>
        <v/>
      </c>
      <c r="N141" s="11">
        <f>IF($A141="","",IFERROR(H141/C141,0))</f>
        <v/>
      </c>
      <c r="O141" s="11">
        <f>IF($A141="","",IFERROR(B141/C141,0))</f>
        <v/>
      </c>
      <c r="P141" s="11">
        <f>IF($A141="","",MAX(0,AVERAGE(J141,K141,1-N141)))</f>
        <v/>
      </c>
    </row>
    <row r="142" ht="22" customHeight="1">
      <c r="A142" s="9" t="n"/>
      <c r="B142" s="10" t="n"/>
      <c r="C142" s="10" t="n"/>
      <c r="D142" s="10" t="n"/>
      <c r="E142" s="10" t="n"/>
      <c r="F142" s="10" t="n"/>
      <c r="G142" s="10" t="n"/>
      <c r="H142" s="10" t="n"/>
      <c r="I142" s="12">
        <f>IF($A142="","",MAX(C142-B142,0))</f>
        <v/>
      </c>
      <c r="J142" s="11">
        <f>IF($A142="","",IFERROR(B142/C142,0))</f>
        <v/>
      </c>
      <c r="K142" s="11">
        <f>IF($A142="","",IFERROR(D142/E142,0))</f>
        <v/>
      </c>
      <c r="L142" s="12">
        <f>IF($A142="","",IFERROR(F142/7,0))</f>
        <v/>
      </c>
      <c r="M142" s="12">
        <f>IF($A142="","",ROUND(IFERROR(G142/7,0),0))</f>
        <v/>
      </c>
      <c r="N142" s="11">
        <f>IF($A142="","",IFERROR(H142/C142,0))</f>
        <v/>
      </c>
      <c r="O142" s="11">
        <f>IF($A142="","",IFERROR(B142/C142,0))</f>
        <v/>
      </c>
      <c r="P142" s="11">
        <f>IF($A142="","",MAX(0,AVERAGE(J142,K142,1-N142)))</f>
        <v/>
      </c>
    </row>
    <row r="143" ht="22" customHeight="1">
      <c r="A143" s="9" t="n"/>
      <c r="B143" s="10" t="n"/>
      <c r="C143" s="10" t="n"/>
      <c r="D143" s="10" t="n"/>
      <c r="E143" s="10" t="n"/>
      <c r="F143" s="10" t="n"/>
      <c r="G143" s="10" t="n"/>
      <c r="H143" s="10" t="n"/>
      <c r="I143" s="12">
        <f>IF($A143="","",MAX(C143-B143,0))</f>
        <v/>
      </c>
      <c r="J143" s="11">
        <f>IF($A143="","",IFERROR(B143/C143,0))</f>
        <v/>
      </c>
      <c r="K143" s="11">
        <f>IF($A143="","",IFERROR(D143/E143,0))</f>
        <v/>
      </c>
      <c r="L143" s="12">
        <f>IF($A143="","",IFERROR(F143/7,0))</f>
        <v/>
      </c>
      <c r="M143" s="12">
        <f>IF($A143="","",ROUND(IFERROR(G143/7,0),0))</f>
        <v/>
      </c>
      <c r="N143" s="11">
        <f>IF($A143="","",IFERROR(H143/C143,0))</f>
        <v/>
      </c>
      <c r="O143" s="11">
        <f>IF($A143="","",IFERROR(B143/C143,0))</f>
        <v/>
      </c>
      <c r="P143" s="11">
        <f>IF($A143="","",MAX(0,AVERAGE(J143,K143,1-N143)))</f>
        <v/>
      </c>
    </row>
    <row r="144" ht="22" customHeight="1">
      <c r="A144" s="9" t="n"/>
      <c r="B144" s="10" t="n"/>
      <c r="C144" s="10" t="n"/>
      <c r="D144" s="10" t="n"/>
      <c r="E144" s="10" t="n"/>
      <c r="F144" s="10" t="n"/>
      <c r="G144" s="10" t="n"/>
      <c r="H144" s="10" t="n"/>
      <c r="I144" s="12">
        <f>IF($A144="","",MAX(C144-B144,0))</f>
        <v/>
      </c>
      <c r="J144" s="11">
        <f>IF($A144="","",IFERROR(B144/C144,0))</f>
        <v/>
      </c>
      <c r="K144" s="11">
        <f>IF($A144="","",IFERROR(D144/E144,0))</f>
        <v/>
      </c>
      <c r="L144" s="12">
        <f>IF($A144="","",IFERROR(F144/7,0))</f>
        <v/>
      </c>
      <c r="M144" s="12">
        <f>IF($A144="","",ROUND(IFERROR(G144/7,0),0))</f>
        <v/>
      </c>
      <c r="N144" s="11">
        <f>IF($A144="","",IFERROR(H144/C144,0))</f>
        <v/>
      </c>
      <c r="O144" s="11">
        <f>IF($A144="","",IFERROR(B144/C144,0))</f>
        <v/>
      </c>
      <c r="P144" s="11">
        <f>IF($A144="","",MAX(0,AVERAGE(J144,K144,1-N144)))</f>
        <v/>
      </c>
    </row>
    <row r="145" ht="22" customHeight="1">
      <c r="A145" s="9" t="n"/>
      <c r="B145" s="10" t="n"/>
      <c r="C145" s="10" t="n"/>
      <c r="D145" s="10" t="n"/>
      <c r="E145" s="10" t="n"/>
      <c r="F145" s="10" t="n"/>
      <c r="G145" s="10" t="n"/>
      <c r="H145" s="10" t="n"/>
      <c r="I145" s="12">
        <f>IF($A145="","",MAX(C145-B145,0))</f>
        <v/>
      </c>
      <c r="J145" s="11">
        <f>IF($A145="","",IFERROR(B145/C145,0))</f>
        <v/>
      </c>
      <c r="K145" s="11">
        <f>IF($A145="","",IFERROR(D145/E145,0))</f>
        <v/>
      </c>
      <c r="L145" s="12">
        <f>IF($A145="","",IFERROR(F145/7,0))</f>
        <v/>
      </c>
      <c r="M145" s="12">
        <f>IF($A145="","",ROUND(IFERROR(G145/7,0),0))</f>
        <v/>
      </c>
      <c r="N145" s="11">
        <f>IF($A145="","",IFERROR(H145/C145,0))</f>
        <v/>
      </c>
      <c r="O145" s="11">
        <f>IF($A145="","",IFERROR(B145/C145,0))</f>
        <v/>
      </c>
      <c r="P145" s="11">
        <f>IF($A145="","",MAX(0,AVERAGE(J145,K145,1-N145)))</f>
        <v/>
      </c>
    </row>
    <row r="146" ht="22" customHeight="1">
      <c r="A146" s="9" t="n"/>
      <c r="B146" s="10" t="n"/>
      <c r="C146" s="10" t="n"/>
      <c r="D146" s="10" t="n"/>
      <c r="E146" s="10" t="n"/>
      <c r="F146" s="10" t="n"/>
      <c r="G146" s="10" t="n"/>
      <c r="H146" s="10" t="n"/>
      <c r="I146" s="12">
        <f>IF($A146="","",MAX(C146-B146,0))</f>
        <v/>
      </c>
      <c r="J146" s="11">
        <f>IF($A146="","",IFERROR(B146/C146,0))</f>
        <v/>
      </c>
      <c r="K146" s="11">
        <f>IF($A146="","",IFERROR(D146/E146,0))</f>
        <v/>
      </c>
      <c r="L146" s="12">
        <f>IF($A146="","",IFERROR(F146/7,0))</f>
        <v/>
      </c>
      <c r="M146" s="12">
        <f>IF($A146="","",ROUND(IFERROR(G146/7,0),0))</f>
        <v/>
      </c>
      <c r="N146" s="11">
        <f>IF($A146="","",IFERROR(H146/C146,0))</f>
        <v/>
      </c>
      <c r="O146" s="11">
        <f>IF($A146="","",IFERROR(B146/C146,0))</f>
        <v/>
      </c>
      <c r="P146" s="11">
        <f>IF($A146="","",MAX(0,AVERAGE(J146,K146,1-N146)))</f>
        <v/>
      </c>
    </row>
    <row r="147" ht="22" customHeight="1">
      <c r="A147" s="9" t="n"/>
      <c r="B147" s="10" t="n"/>
      <c r="C147" s="10" t="n"/>
      <c r="D147" s="10" t="n"/>
      <c r="E147" s="10" t="n"/>
      <c r="F147" s="10" t="n"/>
      <c r="G147" s="10" t="n"/>
      <c r="H147" s="10" t="n"/>
      <c r="I147" s="12">
        <f>IF($A147="","",MAX(C147-B147,0))</f>
        <v/>
      </c>
      <c r="J147" s="11">
        <f>IF($A147="","",IFERROR(B147/C147,0))</f>
        <v/>
      </c>
      <c r="K147" s="11">
        <f>IF($A147="","",IFERROR(D147/E147,0))</f>
        <v/>
      </c>
      <c r="L147" s="12">
        <f>IF($A147="","",IFERROR(F147/7,0))</f>
        <v/>
      </c>
      <c r="M147" s="12">
        <f>IF($A147="","",ROUND(IFERROR(G147/7,0),0))</f>
        <v/>
      </c>
      <c r="N147" s="11">
        <f>IF($A147="","",IFERROR(H147/C147,0))</f>
        <v/>
      </c>
      <c r="O147" s="11">
        <f>IF($A147="","",IFERROR(B147/C147,0))</f>
        <v/>
      </c>
      <c r="P147" s="11">
        <f>IF($A147="","",MAX(0,AVERAGE(J147,K147,1-N147)))</f>
        <v/>
      </c>
    </row>
    <row r="148" ht="22" customHeight="1">
      <c r="A148" s="9" t="n"/>
      <c r="B148" s="10" t="n"/>
      <c r="C148" s="10" t="n"/>
      <c r="D148" s="10" t="n"/>
      <c r="E148" s="10" t="n"/>
      <c r="F148" s="10" t="n"/>
      <c r="G148" s="10" t="n"/>
      <c r="H148" s="10" t="n"/>
      <c r="I148" s="12">
        <f>IF($A148="","",MAX(C148-B148,0))</f>
        <v/>
      </c>
      <c r="J148" s="11">
        <f>IF($A148="","",IFERROR(B148/C148,0))</f>
        <v/>
      </c>
      <c r="K148" s="11">
        <f>IF($A148="","",IFERROR(D148/E148,0))</f>
        <v/>
      </c>
      <c r="L148" s="12">
        <f>IF($A148="","",IFERROR(F148/7,0))</f>
        <v/>
      </c>
      <c r="M148" s="12">
        <f>IF($A148="","",ROUND(IFERROR(G148/7,0),0))</f>
        <v/>
      </c>
      <c r="N148" s="11">
        <f>IF($A148="","",IFERROR(H148/C148,0))</f>
        <v/>
      </c>
      <c r="O148" s="11">
        <f>IF($A148="","",IFERROR(B148/C148,0))</f>
        <v/>
      </c>
      <c r="P148" s="11">
        <f>IF($A148="","",MAX(0,AVERAGE(J148,K148,1-N148)))</f>
        <v/>
      </c>
    </row>
    <row r="149" ht="22" customHeight="1">
      <c r="A149" s="9" t="n"/>
      <c r="B149" s="10" t="n"/>
      <c r="C149" s="10" t="n"/>
      <c r="D149" s="10" t="n"/>
      <c r="E149" s="10" t="n"/>
      <c r="F149" s="10" t="n"/>
      <c r="G149" s="10" t="n"/>
      <c r="H149" s="10" t="n"/>
      <c r="I149" s="12">
        <f>IF($A149="","",MAX(C149-B149,0))</f>
        <v/>
      </c>
      <c r="J149" s="11">
        <f>IF($A149="","",IFERROR(B149/C149,0))</f>
        <v/>
      </c>
      <c r="K149" s="11">
        <f>IF($A149="","",IFERROR(D149/E149,0))</f>
        <v/>
      </c>
      <c r="L149" s="12">
        <f>IF($A149="","",IFERROR(F149/7,0))</f>
        <v/>
      </c>
      <c r="M149" s="12">
        <f>IF($A149="","",ROUND(IFERROR(G149/7,0),0))</f>
        <v/>
      </c>
      <c r="N149" s="11">
        <f>IF($A149="","",IFERROR(H149/C149,0))</f>
        <v/>
      </c>
      <c r="O149" s="11">
        <f>IF($A149="","",IFERROR(B149/C149,0))</f>
        <v/>
      </c>
      <c r="P149" s="11">
        <f>IF($A149="","",MAX(0,AVERAGE(J149,K149,1-N149)))</f>
        <v/>
      </c>
    </row>
    <row r="150" ht="22" customHeight="1">
      <c r="A150" s="9" t="n"/>
      <c r="B150" s="10" t="n"/>
      <c r="C150" s="10" t="n"/>
      <c r="D150" s="10" t="n"/>
      <c r="E150" s="10" t="n"/>
      <c r="F150" s="10" t="n"/>
      <c r="G150" s="10" t="n"/>
      <c r="H150" s="10" t="n"/>
      <c r="I150" s="12">
        <f>IF($A150="","",MAX(C150-B150,0))</f>
        <v/>
      </c>
      <c r="J150" s="11">
        <f>IF($A150="","",IFERROR(B150/C150,0))</f>
        <v/>
      </c>
      <c r="K150" s="11">
        <f>IF($A150="","",IFERROR(D150/E150,0))</f>
        <v/>
      </c>
      <c r="L150" s="12">
        <f>IF($A150="","",IFERROR(F150/7,0))</f>
        <v/>
      </c>
      <c r="M150" s="12">
        <f>IF($A150="","",ROUND(IFERROR(G150/7,0),0))</f>
        <v/>
      </c>
      <c r="N150" s="11">
        <f>IF($A150="","",IFERROR(H150/C150,0))</f>
        <v/>
      </c>
      <c r="O150" s="11">
        <f>IF($A150="","",IFERROR(B150/C150,0))</f>
        <v/>
      </c>
      <c r="P150" s="11">
        <f>IF($A150="","",MAX(0,AVERAGE(J150,K150,1-N150)))</f>
        <v/>
      </c>
    </row>
    <row r="151" ht="22" customHeight="1">
      <c r="A151" s="9" t="n"/>
      <c r="B151" s="10" t="n"/>
      <c r="C151" s="10" t="n"/>
      <c r="D151" s="10" t="n"/>
      <c r="E151" s="10" t="n"/>
      <c r="F151" s="10" t="n"/>
      <c r="G151" s="10" t="n"/>
      <c r="H151" s="10" t="n"/>
      <c r="I151" s="12">
        <f>IF($A151="","",MAX(C151-B151,0))</f>
        <v/>
      </c>
      <c r="J151" s="11">
        <f>IF($A151="","",IFERROR(B151/C151,0))</f>
        <v/>
      </c>
      <c r="K151" s="11">
        <f>IF($A151="","",IFERROR(D151/E151,0))</f>
        <v/>
      </c>
      <c r="L151" s="12">
        <f>IF($A151="","",IFERROR(F151/7,0))</f>
        <v/>
      </c>
      <c r="M151" s="12">
        <f>IF($A151="","",ROUND(IFERROR(G151/7,0),0))</f>
        <v/>
      </c>
      <c r="N151" s="11">
        <f>IF($A151="","",IFERROR(H151/C151,0))</f>
        <v/>
      </c>
      <c r="O151" s="11">
        <f>IF($A151="","",IFERROR(B151/C151,0))</f>
        <v/>
      </c>
      <c r="P151" s="11">
        <f>IF($A151="","",MAX(0,AVERAGE(J151,K151,1-N151)))</f>
        <v/>
      </c>
    </row>
    <row r="152" ht="22" customHeight="1">
      <c r="A152" s="9" t="n"/>
      <c r="B152" s="10" t="n"/>
      <c r="C152" s="10" t="n"/>
      <c r="D152" s="10" t="n"/>
      <c r="E152" s="10" t="n"/>
      <c r="F152" s="10" t="n"/>
      <c r="G152" s="10" t="n"/>
      <c r="H152" s="10" t="n"/>
      <c r="I152" s="12">
        <f>IF($A152="","",MAX(C152-B152,0))</f>
        <v/>
      </c>
      <c r="J152" s="11">
        <f>IF($A152="","",IFERROR(B152/C152,0))</f>
        <v/>
      </c>
      <c r="K152" s="11">
        <f>IF($A152="","",IFERROR(D152/E152,0))</f>
        <v/>
      </c>
      <c r="L152" s="12">
        <f>IF($A152="","",IFERROR(F152/7,0))</f>
        <v/>
      </c>
      <c r="M152" s="12">
        <f>IF($A152="","",ROUND(IFERROR(G152/7,0),0))</f>
        <v/>
      </c>
      <c r="N152" s="11">
        <f>IF($A152="","",IFERROR(H152/C152,0))</f>
        <v/>
      </c>
      <c r="O152" s="11">
        <f>IF($A152="","",IFERROR(B152/C152,0))</f>
        <v/>
      </c>
      <c r="P152" s="11">
        <f>IF($A152="","",MAX(0,AVERAGE(J152,K152,1-N152)))</f>
        <v/>
      </c>
    </row>
    <row r="153" ht="22" customHeight="1">
      <c r="A153" s="9" t="n"/>
      <c r="B153" s="10" t="n"/>
      <c r="C153" s="10" t="n"/>
      <c r="D153" s="10" t="n"/>
      <c r="E153" s="10" t="n"/>
      <c r="F153" s="10" t="n"/>
      <c r="G153" s="10" t="n"/>
      <c r="H153" s="10" t="n"/>
      <c r="I153" s="12">
        <f>IF($A153="","",MAX(C153-B153,0))</f>
        <v/>
      </c>
      <c r="J153" s="11">
        <f>IF($A153="","",IFERROR(B153/C153,0))</f>
        <v/>
      </c>
      <c r="K153" s="11">
        <f>IF($A153="","",IFERROR(D153/E153,0))</f>
        <v/>
      </c>
      <c r="L153" s="12">
        <f>IF($A153="","",IFERROR(F153/7,0))</f>
        <v/>
      </c>
      <c r="M153" s="12">
        <f>IF($A153="","",ROUND(IFERROR(G153/7,0),0))</f>
        <v/>
      </c>
      <c r="N153" s="11">
        <f>IF($A153="","",IFERROR(H153/C153,0))</f>
        <v/>
      </c>
      <c r="O153" s="11">
        <f>IF($A153="","",IFERROR(B153/C153,0))</f>
        <v/>
      </c>
      <c r="P153" s="11">
        <f>IF($A153="","",MAX(0,AVERAGE(J153,K153,1-N153)))</f>
        <v/>
      </c>
    </row>
    <row r="154" ht="22" customHeight="1">
      <c r="A154" s="9" t="n"/>
      <c r="B154" s="10" t="n"/>
      <c r="C154" s="10" t="n"/>
      <c r="D154" s="10" t="n"/>
      <c r="E154" s="10" t="n"/>
      <c r="F154" s="10" t="n"/>
      <c r="G154" s="10" t="n"/>
      <c r="H154" s="10" t="n"/>
      <c r="I154" s="12">
        <f>IF($A154="","",MAX(C154-B154,0))</f>
        <v/>
      </c>
      <c r="J154" s="11">
        <f>IF($A154="","",IFERROR(B154/C154,0))</f>
        <v/>
      </c>
      <c r="K154" s="11">
        <f>IF($A154="","",IFERROR(D154/E154,0))</f>
        <v/>
      </c>
      <c r="L154" s="12">
        <f>IF($A154="","",IFERROR(F154/7,0))</f>
        <v/>
      </c>
      <c r="M154" s="12">
        <f>IF($A154="","",ROUND(IFERROR(G154/7,0),0))</f>
        <v/>
      </c>
      <c r="N154" s="11">
        <f>IF($A154="","",IFERROR(H154/C154,0))</f>
        <v/>
      </c>
      <c r="O154" s="11">
        <f>IF($A154="","",IFERROR(B154/C154,0))</f>
        <v/>
      </c>
      <c r="P154" s="11">
        <f>IF($A154="","",MAX(0,AVERAGE(J154,K154,1-N154)))</f>
        <v/>
      </c>
    </row>
    <row r="155" ht="22" customHeight="1">
      <c r="A155" s="9" t="n"/>
      <c r="B155" s="10" t="n"/>
      <c r="C155" s="10" t="n"/>
      <c r="D155" s="10" t="n"/>
      <c r="E155" s="10" t="n"/>
      <c r="F155" s="10" t="n"/>
      <c r="G155" s="10" t="n"/>
      <c r="H155" s="10" t="n"/>
      <c r="I155" s="12">
        <f>IF($A155="","",MAX(C155-B155,0))</f>
        <v/>
      </c>
      <c r="J155" s="11">
        <f>IF($A155="","",IFERROR(B155/C155,0))</f>
        <v/>
      </c>
      <c r="K155" s="11">
        <f>IF($A155="","",IFERROR(D155/E155,0))</f>
        <v/>
      </c>
      <c r="L155" s="12">
        <f>IF($A155="","",IFERROR(F155/7,0))</f>
        <v/>
      </c>
      <c r="M155" s="12">
        <f>IF($A155="","",ROUND(IFERROR(G155/7,0),0))</f>
        <v/>
      </c>
      <c r="N155" s="11">
        <f>IF($A155="","",IFERROR(H155/C155,0))</f>
        <v/>
      </c>
      <c r="O155" s="11">
        <f>IF($A155="","",IFERROR(B155/C155,0))</f>
        <v/>
      </c>
      <c r="P155" s="11">
        <f>IF($A155="","",MAX(0,AVERAGE(J155,K155,1-N155)))</f>
        <v/>
      </c>
    </row>
    <row r="156" ht="22" customHeight="1">
      <c r="A156" s="9" t="n"/>
      <c r="B156" s="10" t="n"/>
      <c r="C156" s="10" t="n"/>
      <c r="D156" s="10" t="n"/>
      <c r="E156" s="10" t="n"/>
      <c r="F156" s="10" t="n"/>
      <c r="G156" s="10" t="n"/>
      <c r="H156" s="10" t="n"/>
      <c r="I156" s="12">
        <f>IF($A156="","",MAX(C156-B156,0))</f>
        <v/>
      </c>
      <c r="J156" s="11">
        <f>IF($A156="","",IFERROR(B156/C156,0))</f>
        <v/>
      </c>
      <c r="K156" s="11">
        <f>IF($A156="","",IFERROR(D156/E156,0))</f>
        <v/>
      </c>
      <c r="L156" s="12">
        <f>IF($A156="","",IFERROR(F156/7,0))</f>
        <v/>
      </c>
      <c r="M156" s="12">
        <f>IF($A156="","",ROUND(IFERROR(G156/7,0),0))</f>
        <v/>
      </c>
      <c r="N156" s="11">
        <f>IF($A156="","",IFERROR(H156/C156,0))</f>
        <v/>
      </c>
      <c r="O156" s="11">
        <f>IF($A156="","",IFERROR(B156/C156,0))</f>
        <v/>
      </c>
      <c r="P156" s="11">
        <f>IF($A156="","",MAX(0,AVERAGE(J156,K156,1-N156)))</f>
        <v/>
      </c>
    </row>
    <row r="157" ht="22" customHeight="1">
      <c r="A157" s="9" t="n"/>
      <c r="B157" s="10" t="n"/>
      <c r="C157" s="10" t="n"/>
      <c r="D157" s="10" t="n"/>
      <c r="E157" s="10" t="n"/>
      <c r="F157" s="10" t="n"/>
      <c r="G157" s="10" t="n"/>
      <c r="H157" s="10" t="n"/>
      <c r="I157" s="12">
        <f>IF($A157="","",MAX(C157-B157,0))</f>
        <v/>
      </c>
      <c r="J157" s="11">
        <f>IF($A157="","",IFERROR(B157/C157,0))</f>
        <v/>
      </c>
      <c r="K157" s="11">
        <f>IF($A157="","",IFERROR(D157/E157,0))</f>
        <v/>
      </c>
      <c r="L157" s="12">
        <f>IF($A157="","",IFERROR(F157/7,0))</f>
        <v/>
      </c>
      <c r="M157" s="12">
        <f>IF($A157="","",ROUND(IFERROR(G157/7,0),0))</f>
        <v/>
      </c>
      <c r="N157" s="11">
        <f>IF($A157="","",IFERROR(H157/C157,0))</f>
        <v/>
      </c>
      <c r="O157" s="11">
        <f>IF($A157="","",IFERROR(B157/C157,0))</f>
        <v/>
      </c>
      <c r="P157" s="11">
        <f>IF($A157="","",MAX(0,AVERAGE(J157,K157,1-N157)))</f>
        <v/>
      </c>
    </row>
    <row r="158" ht="22" customHeight="1">
      <c r="A158" s="9" t="n"/>
      <c r="B158" s="10" t="n"/>
      <c r="C158" s="10" t="n"/>
      <c r="D158" s="10" t="n"/>
      <c r="E158" s="10" t="n"/>
      <c r="F158" s="10" t="n"/>
      <c r="G158" s="10" t="n"/>
      <c r="H158" s="10" t="n"/>
      <c r="I158" s="12">
        <f>IF($A158="","",MAX(C158-B158,0))</f>
        <v/>
      </c>
      <c r="J158" s="11">
        <f>IF($A158="","",IFERROR(B158/C158,0))</f>
        <v/>
      </c>
      <c r="K158" s="11">
        <f>IF($A158="","",IFERROR(D158/E158,0))</f>
        <v/>
      </c>
      <c r="L158" s="12">
        <f>IF($A158="","",IFERROR(F158/7,0))</f>
        <v/>
      </c>
      <c r="M158" s="12">
        <f>IF($A158="","",ROUND(IFERROR(G158/7,0),0))</f>
        <v/>
      </c>
      <c r="N158" s="11">
        <f>IF($A158="","",IFERROR(H158/C158,0))</f>
        <v/>
      </c>
      <c r="O158" s="11">
        <f>IF($A158="","",IFERROR(B158/C158,0))</f>
        <v/>
      </c>
      <c r="P158" s="11">
        <f>IF($A158="","",MAX(0,AVERAGE(J158,K158,1-N158)))</f>
        <v/>
      </c>
    </row>
    <row r="159" ht="22" customHeight="1">
      <c r="A159" s="9" t="n"/>
      <c r="B159" s="10" t="n"/>
      <c r="C159" s="10" t="n"/>
      <c r="D159" s="10" t="n"/>
      <c r="E159" s="10" t="n"/>
      <c r="F159" s="10" t="n"/>
      <c r="G159" s="10" t="n"/>
      <c r="H159" s="10" t="n"/>
      <c r="I159" s="12">
        <f>IF($A159="","",MAX(C159-B159,0))</f>
        <v/>
      </c>
      <c r="J159" s="11">
        <f>IF($A159="","",IFERROR(B159/C159,0))</f>
        <v/>
      </c>
      <c r="K159" s="11">
        <f>IF($A159="","",IFERROR(D159/E159,0))</f>
        <v/>
      </c>
      <c r="L159" s="12">
        <f>IF($A159="","",IFERROR(F159/7,0))</f>
        <v/>
      </c>
      <c r="M159" s="12">
        <f>IF($A159="","",ROUND(IFERROR(G159/7,0),0))</f>
        <v/>
      </c>
      <c r="N159" s="11">
        <f>IF($A159="","",IFERROR(H159/C159,0))</f>
        <v/>
      </c>
      <c r="O159" s="11">
        <f>IF($A159="","",IFERROR(B159/C159,0))</f>
        <v/>
      </c>
      <c r="P159" s="11">
        <f>IF($A159="","",MAX(0,AVERAGE(J159,K159,1-N159)))</f>
        <v/>
      </c>
    </row>
    <row r="160" ht="22" customHeight="1">
      <c r="A160" s="9" t="n"/>
      <c r="B160" s="10" t="n"/>
      <c r="C160" s="10" t="n"/>
      <c r="D160" s="10" t="n"/>
      <c r="E160" s="10" t="n"/>
      <c r="F160" s="10" t="n"/>
      <c r="G160" s="10" t="n"/>
      <c r="H160" s="10" t="n"/>
      <c r="I160" s="12">
        <f>IF($A160="","",MAX(C160-B160,0))</f>
        <v/>
      </c>
      <c r="J160" s="11">
        <f>IF($A160="","",IFERROR(B160/C160,0))</f>
        <v/>
      </c>
      <c r="K160" s="11">
        <f>IF($A160="","",IFERROR(D160/E160,0))</f>
        <v/>
      </c>
      <c r="L160" s="12">
        <f>IF($A160="","",IFERROR(F160/7,0))</f>
        <v/>
      </c>
      <c r="M160" s="12">
        <f>IF($A160="","",ROUND(IFERROR(G160/7,0),0))</f>
        <v/>
      </c>
      <c r="N160" s="11">
        <f>IF($A160="","",IFERROR(H160/C160,0))</f>
        <v/>
      </c>
      <c r="O160" s="11">
        <f>IF($A160="","",IFERROR(B160/C160,0))</f>
        <v/>
      </c>
      <c r="P160" s="11">
        <f>IF($A160="","",MAX(0,AVERAGE(J160,K160,1-N160)))</f>
        <v/>
      </c>
    </row>
    <row r="161" ht="22" customHeight="1">
      <c r="A161" s="9" t="n"/>
      <c r="B161" s="10" t="n"/>
      <c r="C161" s="10" t="n"/>
      <c r="D161" s="10" t="n"/>
      <c r="E161" s="10" t="n"/>
      <c r="F161" s="10" t="n"/>
      <c r="G161" s="10" t="n"/>
      <c r="H161" s="10" t="n"/>
      <c r="I161" s="12">
        <f>IF($A161="","",MAX(C161-B161,0))</f>
        <v/>
      </c>
      <c r="J161" s="11">
        <f>IF($A161="","",IFERROR(B161/C161,0))</f>
        <v/>
      </c>
      <c r="K161" s="11">
        <f>IF($A161="","",IFERROR(D161/E161,0))</f>
        <v/>
      </c>
      <c r="L161" s="12">
        <f>IF($A161="","",IFERROR(F161/7,0))</f>
        <v/>
      </c>
      <c r="M161" s="12">
        <f>IF($A161="","",ROUND(IFERROR(G161/7,0),0))</f>
        <v/>
      </c>
      <c r="N161" s="11">
        <f>IF($A161="","",IFERROR(H161/C161,0))</f>
        <v/>
      </c>
      <c r="O161" s="11">
        <f>IF($A161="","",IFERROR(B161/C161,0))</f>
        <v/>
      </c>
      <c r="P161" s="11">
        <f>IF($A161="","",MAX(0,AVERAGE(J161,K161,1-N161)))</f>
        <v/>
      </c>
    </row>
    <row r="162" ht="22" customHeight="1">
      <c r="A162" s="9" t="n"/>
      <c r="B162" s="10" t="n"/>
      <c r="C162" s="10" t="n"/>
      <c r="D162" s="10" t="n"/>
      <c r="E162" s="10" t="n"/>
      <c r="F162" s="10" t="n"/>
      <c r="G162" s="10" t="n"/>
      <c r="H162" s="10" t="n"/>
      <c r="I162" s="12">
        <f>IF($A162="","",MAX(C162-B162,0))</f>
        <v/>
      </c>
      <c r="J162" s="11">
        <f>IF($A162="","",IFERROR(B162/C162,0))</f>
        <v/>
      </c>
      <c r="K162" s="11">
        <f>IF($A162="","",IFERROR(D162/E162,0))</f>
        <v/>
      </c>
      <c r="L162" s="12">
        <f>IF($A162="","",IFERROR(F162/7,0))</f>
        <v/>
      </c>
      <c r="M162" s="12">
        <f>IF($A162="","",ROUND(IFERROR(G162/7,0),0))</f>
        <v/>
      </c>
      <c r="N162" s="11">
        <f>IF($A162="","",IFERROR(H162/C162,0))</f>
        <v/>
      </c>
      <c r="O162" s="11">
        <f>IF($A162="","",IFERROR(B162/C162,0))</f>
        <v/>
      </c>
      <c r="P162" s="11">
        <f>IF($A162="","",MAX(0,AVERAGE(J162,K162,1-N162)))</f>
        <v/>
      </c>
    </row>
    <row r="163" ht="22" customHeight="1">
      <c r="A163" s="9" t="n"/>
      <c r="B163" s="10" t="n"/>
      <c r="C163" s="10" t="n"/>
      <c r="D163" s="10" t="n"/>
      <c r="E163" s="10" t="n"/>
      <c r="F163" s="10" t="n"/>
      <c r="G163" s="10" t="n"/>
      <c r="H163" s="10" t="n"/>
      <c r="I163" s="12">
        <f>IF($A163="","",MAX(C163-B163,0))</f>
        <v/>
      </c>
      <c r="J163" s="11">
        <f>IF($A163="","",IFERROR(B163/C163,0))</f>
        <v/>
      </c>
      <c r="K163" s="11">
        <f>IF($A163="","",IFERROR(D163/E163,0))</f>
        <v/>
      </c>
      <c r="L163" s="12">
        <f>IF($A163="","",IFERROR(F163/7,0))</f>
        <v/>
      </c>
      <c r="M163" s="12">
        <f>IF($A163="","",ROUND(IFERROR(G163/7,0),0))</f>
        <v/>
      </c>
      <c r="N163" s="11">
        <f>IF($A163="","",IFERROR(H163/C163,0))</f>
        <v/>
      </c>
      <c r="O163" s="11">
        <f>IF($A163="","",IFERROR(B163/C163,0))</f>
        <v/>
      </c>
      <c r="P163" s="11">
        <f>IF($A163="","",MAX(0,AVERAGE(J163,K163,1-N163)))</f>
        <v/>
      </c>
    </row>
    <row r="164" ht="22" customHeight="1">
      <c r="A164" s="9" t="n"/>
      <c r="B164" s="10" t="n"/>
      <c r="C164" s="10" t="n"/>
      <c r="D164" s="10" t="n"/>
      <c r="E164" s="10" t="n"/>
      <c r="F164" s="10" t="n"/>
      <c r="G164" s="10" t="n"/>
      <c r="H164" s="10" t="n"/>
      <c r="I164" s="12">
        <f>IF($A164="","",MAX(C164-B164,0))</f>
        <v/>
      </c>
      <c r="J164" s="11">
        <f>IF($A164="","",IFERROR(B164/C164,0))</f>
        <v/>
      </c>
      <c r="K164" s="11">
        <f>IF($A164="","",IFERROR(D164/E164,0))</f>
        <v/>
      </c>
      <c r="L164" s="12">
        <f>IF($A164="","",IFERROR(F164/7,0))</f>
        <v/>
      </c>
      <c r="M164" s="12">
        <f>IF($A164="","",ROUND(IFERROR(G164/7,0),0))</f>
        <v/>
      </c>
      <c r="N164" s="11">
        <f>IF($A164="","",IFERROR(H164/C164,0))</f>
        <v/>
      </c>
      <c r="O164" s="11">
        <f>IF($A164="","",IFERROR(B164/C164,0))</f>
        <v/>
      </c>
      <c r="P164" s="11">
        <f>IF($A164="","",MAX(0,AVERAGE(J164,K164,1-N164)))</f>
        <v/>
      </c>
    </row>
    <row r="165" ht="22" customHeight="1">
      <c r="A165" s="9" t="n"/>
      <c r="B165" s="10" t="n"/>
      <c r="C165" s="10" t="n"/>
      <c r="D165" s="10" t="n"/>
      <c r="E165" s="10" t="n"/>
      <c r="F165" s="10" t="n"/>
      <c r="G165" s="10" t="n"/>
      <c r="H165" s="10" t="n"/>
      <c r="I165" s="12">
        <f>IF($A165="","",MAX(C165-B165,0))</f>
        <v/>
      </c>
      <c r="J165" s="11">
        <f>IF($A165="","",IFERROR(B165/C165,0))</f>
        <v/>
      </c>
      <c r="K165" s="11">
        <f>IF($A165="","",IFERROR(D165/E165,0))</f>
        <v/>
      </c>
      <c r="L165" s="12">
        <f>IF($A165="","",IFERROR(F165/7,0))</f>
        <v/>
      </c>
      <c r="M165" s="12">
        <f>IF($A165="","",ROUND(IFERROR(G165/7,0),0))</f>
        <v/>
      </c>
      <c r="N165" s="11">
        <f>IF($A165="","",IFERROR(H165/C165,0))</f>
        <v/>
      </c>
      <c r="O165" s="11">
        <f>IF($A165="","",IFERROR(B165/C165,0))</f>
        <v/>
      </c>
      <c r="P165" s="11">
        <f>IF($A165="","",MAX(0,AVERAGE(J165,K165,1-N165)))</f>
        <v/>
      </c>
    </row>
    <row r="166" ht="22" customHeight="1">
      <c r="A166" s="9" t="n"/>
      <c r="B166" s="10" t="n"/>
      <c r="C166" s="10" t="n"/>
      <c r="D166" s="10" t="n"/>
      <c r="E166" s="10" t="n"/>
      <c r="F166" s="10" t="n"/>
      <c r="G166" s="10" t="n"/>
      <c r="H166" s="10" t="n"/>
      <c r="I166" s="12">
        <f>IF($A166="","",MAX(C166-B166,0))</f>
        <v/>
      </c>
      <c r="J166" s="11">
        <f>IF($A166="","",IFERROR(B166/C166,0))</f>
        <v/>
      </c>
      <c r="K166" s="11">
        <f>IF($A166="","",IFERROR(D166/E166,0))</f>
        <v/>
      </c>
      <c r="L166" s="12">
        <f>IF($A166="","",IFERROR(F166/7,0))</f>
        <v/>
      </c>
      <c r="M166" s="12">
        <f>IF($A166="","",ROUND(IFERROR(G166/7,0),0))</f>
        <v/>
      </c>
      <c r="N166" s="11">
        <f>IF($A166="","",IFERROR(H166/C166,0))</f>
        <v/>
      </c>
      <c r="O166" s="11">
        <f>IF($A166="","",IFERROR(B166/C166,0))</f>
        <v/>
      </c>
      <c r="P166" s="11">
        <f>IF($A166="","",MAX(0,AVERAGE(J166,K166,1-N166)))</f>
        <v/>
      </c>
    </row>
    <row r="167" ht="22" customHeight="1">
      <c r="A167" s="9" t="n"/>
      <c r="B167" s="10" t="n"/>
      <c r="C167" s="10" t="n"/>
      <c r="D167" s="10" t="n"/>
      <c r="E167" s="10" t="n"/>
      <c r="F167" s="10" t="n"/>
      <c r="G167" s="10" t="n"/>
      <c r="H167" s="10" t="n"/>
      <c r="I167" s="12">
        <f>IF($A167="","",MAX(C167-B167,0))</f>
        <v/>
      </c>
      <c r="J167" s="11">
        <f>IF($A167="","",IFERROR(B167/C167,0))</f>
        <v/>
      </c>
      <c r="K167" s="11">
        <f>IF($A167="","",IFERROR(D167/E167,0))</f>
        <v/>
      </c>
      <c r="L167" s="12">
        <f>IF($A167="","",IFERROR(F167/7,0))</f>
        <v/>
      </c>
      <c r="M167" s="12">
        <f>IF($A167="","",ROUND(IFERROR(G167/7,0),0))</f>
        <v/>
      </c>
      <c r="N167" s="11">
        <f>IF($A167="","",IFERROR(H167/C167,0))</f>
        <v/>
      </c>
      <c r="O167" s="11">
        <f>IF($A167="","",IFERROR(B167/C167,0))</f>
        <v/>
      </c>
      <c r="P167" s="11">
        <f>IF($A167="","",MAX(0,AVERAGE(J167,K167,1-N167)))</f>
        <v/>
      </c>
    </row>
    <row r="168" ht="22" customHeight="1">
      <c r="A168" s="9" t="n"/>
      <c r="B168" s="10" t="n"/>
      <c r="C168" s="10" t="n"/>
      <c r="D168" s="10" t="n"/>
      <c r="E168" s="10" t="n"/>
      <c r="F168" s="10" t="n"/>
      <c r="G168" s="10" t="n"/>
      <c r="H168" s="10" t="n"/>
      <c r="I168" s="12">
        <f>IF($A168="","",MAX(C168-B168,0))</f>
        <v/>
      </c>
      <c r="J168" s="11">
        <f>IF($A168="","",IFERROR(B168/C168,0))</f>
        <v/>
      </c>
      <c r="K168" s="11">
        <f>IF($A168="","",IFERROR(D168/E168,0))</f>
        <v/>
      </c>
      <c r="L168" s="12">
        <f>IF($A168="","",IFERROR(F168/7,0))</f>
        <v/>
      </c>
      <c r="M168" s="12">
        <f>IF($A168="","",ROUND(IFERROR(G168/7,0),0))</f>
        <v/>
      </c>
      <c r="N168" s="11">
        <f>IF($A168="","",IFERROR(H168/C168,0))</f>
        <v/>
      </c>
      <c r="O168" s="11">
        <f>IF($A168="","",IFERROR(B168/C168,0))</f>
        <v/>
      </c>
      <c r="P168" s="11">
        <f>IF($A168="","",MAX(0,AVERAGE(J168,K168,1-N168)))</f>
        <v/>
      </c>
    </row>
    <row r="169" ht="22" customHeight="1">
      <c r="A169" s="9" t="n"/>
      <c r="B169" s="10" t="n"/>
      <c r="C169" s="10" t="n"/>
      <c r="D169" s="10" t="n"/>
      <c r="E169" s="10" t="n"/>
      <c r="F169" s="10" t="n"/>
      <c r="G169" s="10" t="n"/>
      <c r="H169" s="10" t="n"/>
      <c r="I169" s="12">
        <f>IF($A169="","",MAX(C169-B169,0))</f>
        <v/>
      </c>
      <c r="J169" s="11">
        <f>IF($A169="","",IFERROR(B169/C169,0))</f>
        <v/>
      </c>
      <c r="K169" s="11">
        <f>IF($A169="","",IFERROR(D169/E169,0))</f>
        <v/>
      </c>
      <c r="L169" s="12">
        <f>IF($A169="","",IFERROR(F169/7,0))</f>
        <v/>
      </c>
      <c r="M169" s="12">
        <f>IF($A169="","",ROUND(IFERROR(G169/7,0),0))</f>
        <v/>
      </c>
      <c r="N169" s="11">
        <f>IF($A169="","",IFERROR(H169/C169,0))</f>
        <v/>
      </c>
      <c r="O169" s="11">
        <f>IF($A169="","",IFERROR(B169/C169,0))</f>
        <v/>
      </c>
      <c r="P169" s="11">
        <f>IF($A169="","",MAX(0,AVERAGE(J169,K169,1-N169)))</f>
        <v/>
      </c>
    </row>
    <row r="170" ht="22" customHeight="1">
      <c r="A170" s="9" t="n"/>
      <c r="B170" s="10" t="n"/>
      <c r="C170" s="10" t="n"/>
      <c r="D170" s="10" t="n"/>
      <c r="E170" s="10" t="n"/>
      <c r="F170" s="10" t="n"/>
      <c r="G170" s="10" t="n"/>
      <c r="H170" s="10" t="n"/>
      <c r="I170" s="12">
        <f>IF($A170="","",MAX(C170-B170,0))</f>
        <v/>
      </c>
      <c r="J170" s="11">
        <f>IF($A170="","",IFERROR(B170/C170,0))</f>
        <v/>
      </c>
      <c r="K170" s="11">
        <f>IF($A170="","",IFERROR(D170/E170,0))</f>
        <v/>
      </c>
      <c r="L170" s="12">
        <f>IF($A170="","",IFERROR(F170/7,0))</f>
        <v/>
      </c>
      <c r="M170" s="12">
        <f>IF($A170="","",ROUND(IFERROR(G170/7,0),0))</f>
        <v/>
      </c>
      <c r="N170" s="11">
        <f>IF($A170="","",IFERROR(H170/C170,0))</f>
        <v/>
      </c>
      <c r="O170" s="11">
        <f>IF($A170="","",IFERROR(B170/C170,0))</f>
        <v/>
      </c>
      <c r="P170" s="11">
        <f>IF($A170="","",MAX(0,AVERAGE(J170,K170,1-N170)))</f>
        <v/>
      </c>
    </row>
    <row r="171" ht="22" customHeight="1">
      <c r="A171" s="9" t="n"/>
      <c r="B171" s="10" t="n"/>
      <c r="C171" s="10" t="n"/>
      <c r="D171" s="10" t="n"/>
      <c r="E171" s="10" t="n"/>
      <c r="F171" s="10" t="n"/>
      <c r="G171" s="10" t="n"/>
      <c r="H171" s="10" t="n"/>
      <c r="I171" s="12">
        <f>IF($A171="","",MAX(C171-B171,0))</f>
        <v/>
      </c>
      <c r="J171" s="11">
        <f>IF($A171="","",IFERROR(B171/C171,0))</f>
        <v/>
      </c>
      <c r="K171" s="11">
        <f>IF($A171="","",IFERROR(D171/E171,0))</f>
        <v/>
      </c>
      <c r="L171" s="12">
        <f>IF($A171="","",IFERROR(F171/7,0))</f>
        <v/>
      </c>
      <c r="M171" s="12">
        <f>IF($A171="","",ROUND(IFERROR(G171/7,0),0))</f>
        <v/>
      </c>
      <c r="N171" s="11">
        <f>IF($A171="","",IFERROR(H171/C171,0))</f>
        <v/>
      </c>
      <c r="O171" s="11">
        <f>IF($A171="","",IFERROR(B171/C171,0))</f>
        <v/>
      </c>
      <c r="P171" s="11">
        <f>IF($A171="","",MAX(0,AVERAGE(J171,K171,1-N171)))</f>
        <v/>
      </c>
    </row>
    <row r="172" ht="22" customHeight="1">
      <c r="A172" s="9" t="n"/>
      <c r="B172" s="10" t="n"/>
      <c r="C172" s="10" t="n"/>
      <c r="D172" s="10" t="n"/>
      <c r="E172" s="10" t="n"/>
      <c r="F172" s="10" t="n"/>
      <c r="G172" s="10" t="n"/>
      <c r="H172" s="10" t="n"/>
      <c r="I172" s="12">
        <f>IF($A172="","",MAX(C172-B172,0))</f>
        <v/>
      </c>
      <c r="J172" s="11">
        <f>IF($A172="","",IFERROR(B172/C172,0))</f>
        <v/>
      </c>
      <c r="K172" s="11">
        <f>IF($A172="","",IFERROR(D172/E172,0))</f>
        <v/>
      </c>
      <c r="L172" s="12">
        <f>IF($A172="","",IFERROR(F172/7,0))</f>
        <v/>
      </c>
      <c r="M172" s="12">
        <f>IF($A172="","",ROUND(IFERROR(G172/7,0),0))</f>
        <v/>
      </c>
      <c r="N172" s="11">
        <f>IF($A172="","",IFERROR(H172/C172,0))</f>
        <v/>
      </c>
      <c r="O172" s="11">
        <f>IF($A172="","",IFERROR(B172/C172,0))</f>
        <v/>
      </c>
      <c r="P172" s="11">
        <f>IF($A172="","",MAX(0,AVERAGE(J172,K172,1-N172)))</f>
        <v/>
      </c>
    </row>
    <row r="173" ht="22" customHeight="1">
      <c r="A173" s="9" t="n"/>
      <c r="B173" s="10" t="n"/>
      <c r="C173" s="10" t="n"/>
      <c r="D173" s="10" t="n"/>
      <c r="E173" s="10" t="n"/>
      <c r="F173" s="10" t="n"/>
      <c r="G173" s="10" t="n"/>
      <c r="H173" s="10" t="n"/>
      <c r="I173" s="12">
        <f>IF($A173="","",MAX(C173-B173,0))</f>
        <v/>
      </c>
      <c r="J173" s="11">
        <f>IF($A173="","",IFERROR(B173/C173,0))</f>
        <v/>
      </c>
      <c r="K173" s="11">
        <f>IF($A173="","",IFERROR(D173/E173,0))</f>
        <v/>
      </c>
      <c r="L173" s="12">
        <f>IF($A173="","",IFERROR(F173/7,0))</f>
        <v/>
      </c>
      <c r="M173" s="12">
        <f>IF($A173="","",ROUND(IFERROR(G173/7,0),0))</f>
        <v/>
      </c>
      <c r="N173" s="11">
        <f>IF($A173="","",IFERROR(H173/C173,0))</f>
        <v/>
      </c>
      <c r="O173" s="11">
        <f>IF($A173="","",IFERROR(B173/C173,0))</f>
        <v/>
      </c>
      <c r="P173" s="11">
        <f>IF($A173="","",MAX(0,AVERAGE(J173,K173,1-N173)))</f>
        <v/>
      </c>
    </row>
    <row r="174" ht="22" customHeight="1">
      <c r="A174" s="9" t="n"/>
      <c r="B174" s="10" t="n"/>
      <c r="C174" s="10" t="n"/>
      <c r="D174" s="10" t="n"/>
      <c r="E174" s="10" t="n"/>
      <c r="F174" s="10" t="n"/>
      <c r="G174" s="10" t="n"/>
      <c r="H174" s="10" t="n"/>
      <c r="I174" s="12">
        <f>IF($A174="","",MAX(C174-B174,0))</f>
        <v/>
      </c>
      <c r="J174" s="11">
        <f>IF($A174="","",IFERROR(B174/C174,0))</f>
        <v/>
      </c>
      <c r="K174" s="11">
        <f>IF($A174="","",IFERROR(D174/E174,0))</f>
        <v/>
      </c>
      <c r="L174" s="12">
        <f>IF($A174="","",IFERROR(F174/7,0))</f>
        <v/>
      </c>
      <c r="M174" s="12">
        <f>IF($A174="","",ROUND(IFERROR(G174/7,0),0))</f>
        <v/>
      </c>
      <c r="N174" s="11">
        <f>IF($A174="","",IFERROR(H174/C174,0))</f>
        <v/>
      </c>
      <c r="O174" s="11">
        <f>IF($A174="","",IFERROR(B174/C174,0))</f>
        <v/>
      </c>
      <c r="P174" s="11">
        <f>IF($A174="","",MAX(0,AVERAGE(J174,K174,1-N174)))</f>
        <v/>
      </c>
    </row>
    <row r="175" ht="22" customHeight="1">
      <c r="A175" s="9" t="n"/>
      <c r="B175" s="10" t="n"/>
      <c r="C175" s="10" t="n"/>
      <c r="D175" s="10" t="n"/>
      <c r="E175" s="10" t="n"/>
      <c r="F175" s="10" t="n"/>
      <c r="G175" s="10" t="n"/>
      <c r="H175" s="10" t="n"/>
      <c r="I175" s="12">
        <f>IF($A175="","",MAX(C175-B175,0))</f>
        <v/>
      </c>
      <c r="J175" s="11">
        <f>IF($A175="","",IFERROR(B175/C175,0))</f>
        <v/>
      </c>
      <c r="K175" s="11">
        <f>IF($A175="","",IFERROR(D175/E175,0))</f>
        <v/>
      </c>
      <c r="L175" s="12">
        <f>IF($A175="","",IFERROR(F175/7,0))</f>
        <v/>
      </c>
      <c r="M175" s="12">
        <f>IF($A175="","",ROUND(IFERROR(G175/7,0),0))</f>
        <v/>
      </c>
      <c r="N175" s="11">
        <f>IF($A175="","",IFERROR(H175/C175,0))</f>
        <v/>
      </c>
      <c r="O175" s="11">
        <f>IF($A175="","",IFERROR(B175/C175,0))</f>
        <v/>
      </c>
      <c r="P175" s="11">
        <f>IF($A175="","",MAX(0,AVERAGE(J175,K175,1-N175)))</f>
        <v/>
      </c>
    </row>
    <row r="176" ht="22" customHeight="1">
      <c r="A176" s="9" t="n"/>
      <c r="B176" s="10" t="n"/>
      <c r="C176" s="10" t="n"/>
      <c r="D176" s="10" t="n"/>
      <c r="E176" s="10" t="n"/>
      <c r="F176" s="10" t="n"/>
      <c r="G176" s="10" t="n"/>
      <c r="H176" s="10" t="n"/>
      <c r="I176" s="12">
        <f>IF($A176="","",MAX(C176-B176,0))</f>
        <v/>
      </c>
      <c r="J176" s="11">
        <f>IF($A176="","",IFERROR(B176/C176,0))</f>
        <v/>
      </c>
      <c r="K176" s="11">
        <f>IF($A176="","",IFERROR(D176/E176,0))</f>
        <v/>
      </c>
      <c r="L176" s="12">
        <f>IF($A176="","",IFERROR(F176/7,0))</f>
        <v/>
      </c>
      <c r="M176" s="12">
        <f>IF($A176="","",ROUND(IFERROR(G176/7,0),0))</f>
        <v/>
      </c>
      <c r="N176" s="11">
        <f>IF($A176="","",IFERROR(H176/C176,0))</f>
        <v/>
      </c>
      <c r="O176" s="11">
        <f>IF($A176="","",IFERROR(B176/C176,0))</f>
        <v/>
      </c>
      <c r="P176" s="11">
        <f>IF($A176="","",MAX(0,AVERAGE(J176,K176,1-N176)))</f>
        <v/>
      </c>
    </row>
    <row r="177" ht="22" customHeight="1">
      <c r="A177" s="9" t="n"/>
      <c r="B177" s="10" t="n"/>
      <c r="C177" s="10" t="n"/>
      <c r="D177" s="10" t="n"/>
      <c r="E177" s="10" t="n"/>
      <c r="F177" s="10" t="n"/>
      <c r="G177" s="10" t="n"/>
      <c r="H177" s="10" t="n"/>
      <c r="I177" s="12">
        <f>IF($A177="","",MAX(C177-B177,0))</f>
        <v/>
      </c>
      <c r="J177" s="11">
        <f>IF($A177="","",IFERROR(B177/C177,0))</f>
        <v/>
      </c>
      <c r="K177" s="11">
        <f>IF($A177="","",IFERROR(D177/E177,0))</f>
        <v/>
      </c>
      <c r="L177" s="12">
        <f>IF($A177="","",IFERROR(F177/7,0))</f>
        <v/>
      </c>
      <c r="M177" s="12">
        <f>IF($A177="","",ROUND(IFERROR(G177/7,0),0))</f>
        <v/>
      </c>
      <c r="N177" s="11">
        <f>IF($A177="","",IFERROR(H177/C177,0))</f>
        <v/>
      </c>
      <c r="O177" s="11">
        <f>IF($A177="","",IFERROR(B177/C177,0))</f>
        <v/>
      </c>
      <c r="P177" s="11">
        <f>IF($A177="","",MAX(0,AVERAGE(J177,K177,1-N177)))</f>
        <v/>
      </c>
    </row>
    <row r="178" ht="22" customHeight="1">
      <c r="A178" s="9" t="n"/>
      <c r="B178" s="10" t="n"/>
      <c r="C178" s="10" t="n"/>
      <c r="D178" s="10" t="n"/>
      <c r="E178" s="10" t="n"/>
      <c r="F178" s="10" t="n"/>
      <c r="G178" s="10" t="n"/>
      <c r="H178" s="10" t="n"/>
      <c r="I178" s="12">
        <f>IF($A178="","",MAX(C178-B178,0))</f>
        <v/>
      </c>
      <c r="J178" s="11">
        <f>IF($A178="","",IFERROR(B178/C178,0))</f>
        <v/>
      </c>
      <c r="K178" s="11">
        <f>IF($A178="","",IFERROR(D178/E178,0))</f>
        <v/>
      </c>
      <c r="L178" s="12">
        <f>IF($A178="","",IFERROR(F178/7,0))</f>
        <v/>
      </c>
      <c r="M178" s="12">
        <f>IF($A178="","",ROUND(IFERROR(G178/7,0),0))</f>
        <v/>
      </c>
      <c r="N178" s="11">
        <f>IF($A178="","",IFERROR(H178/C178,0))</f>
        <v/>
      </c>
      <c r="O178" s="11">
        <f>IF($A178="","",IFERROR(B178/C178,0))</f>
        <v/>
      </c>
      <c r="P178" s="11">
        <f>IF($A178="","",MAX(0,AVERAGE(J178,K178,1-N178)))</f>
        <v/>
      </c>
    </row>
    <row r="179" ht="22" customHeight="1">
      <c r="A179" s="9" t="n"/>
      <c r="B179" s="10" t="n"/>
      <c r="C179" s="10" t="n"/>
      <c r="D179" s="10" t="n"/>
      <c r="E179" s="10" t="n"/>
      <c r="F179" s="10" t="n"/>
      <c r="G179" s="10" t="n"/>
      <c r="H179" s="10" t="n"/>
      <c r="I179" s="12">
        <f>IF($A179="","",MAX(C179-B179,0))</f>
        <v/>
      </c>
      <c r="J179" s="11">
        <f>IF($A179="","",IFERROR(B179/C179,0))</f>
        <v/>
      </c>
      <c r="K179" s="11">
        <f>IF($A179="","",IFERROR(D179/E179,0))</f>
        <v/>
      </c>
      <c r="L179" s="12">
        <f>IF($A179="","",IFERROR(F179/7,0))</f>
        <v/>
      </c>
      <c r="M179" s="12">
        <f>IF($A179="","",ROUND(IFERROR(G179/7,0),0))</f>
        <v/>
      </c>
      <c r="N179" s="11">
        <f>IF($A179="","",IFERROR(H179/C179,0))</f>
        <v/>
      </c>
      <c r="O179" s="11">
        <f>IF($A179="","",IFERROR(B179/C179,0))</f>
        <v/>
      </c>
      <c r="P179" s="11">
        <f>IF($A179="","",MAX(0,AVERAGE(J179,K179,1-N179)))</f>
        <v/>
      </c>
    </row>
    <row r="180" ht="22" customHeight="1">
      <c r="A180" s="9" t="n"/>
      <c r="B180" s="10" t="n"/>
      <c r="C180" s="10" t="n"/>
      <c r="D180" s="10" t="n"/>
      <c r="E180" s="10" t="n"/>
      <c r="F180" s="10" t="n"/>
      <c r="G180" s="10" t="n"/>
      <c r="H180" s="10" t="n"/>
      <c r="I180" s="12">
        <f>IF($A180="","",MAX(C180-B180,0))</f>
        <v/>
      </c>
      <c r="J180" s="11">
        <f>IF($A180="","",IFERROR(B180/C180,0))</f>
        <v/>
      </c>
      <c r="K180" s="11">
        <f>IF($A180="","",IFERROR(D180/E180,0))</f>
        <v/>
      </c>
      <c r="L180" s="12">
        <f>IF($A180="","",IFERROR(F180/7,0))</f>
        <v/>
      </c>
      <c r="M180" s="12">
        <f>IF($A180="","",ROUND(IFERROR(G180/7,0),0))</f>
        <v/>
      </c>
      <c r="N180" s="11">
        <f>IF($A180="","",IFERROR(H180/C180,0))</f>
        <v/>
      </c>
      <c r="O180" s="11">
        <f>IF($A180="","",IFERROR(B180/C180,0))</f>
        <v/>
      </c>
      <c r="P180" s="11">
        <f>IF($A180="","",MAX(0,AVERAGE(J180,K180,1-N180)))</f>
        <v/>
      </c>
    </row>
    <row r="181" ht="22" customHeight="1">
      <c r="A181" s="9" t="n"/>
      <c r="B181" s="10" t="n"/>
      <c r="C181" s="10" t="n"/>
      <c r="D181" s="10" t="n"/>
      <c r="E181" s="10" t="n"/>
      <c r="F181" s="10" t="n"/>
      <c r="G181" s="10" t="n"/>
      <c r="H181" s="10" t="n"/>
      <c r="I181" s="12">
        <f>IF($A181="","",MAX(C181-B181,0))</f>
        <v/>
      </c>
      <c r="J181" s="11">
        <f>IF($A181="","",IFERROR(B181/C181,0))</f>
        <v/>
      </c>
      <c r="K181" s="11">
        <f>IF($A181="","",IFERROR(D181/E181,0))</f>
        <v/>
      </c>
      <c r="L181" s="12">
        <f>IF($A181="","",IFERROR(F181/7,0))</f>
        <v/>
      </c>
      <c r="M181" s="12">
        <f>IF($A181="","",ROUND(IFERROR(G181/7,0),0))</f>
        <v/>
      </c>
      <c r="N181" s="11">
        <f>IF($A181="","",IFERROR(H181/C181,0))</f>
        <v/>
      </c>
      <c r="O181" s="11">
        <f>IF($A181="","",IFERROR(B181/C181,0))</f>
        <v/>
      </c>
      <c r="P181" s="11">
        <f>IF($A181="","",MAX(0,AVERAGE(J181,K181,1-N181)))</f>
        <v/>
      </c>
    </row>
    <row r="182" ht="22" customHeight="1">
      <c r="A182" s="9" t="n"/>
      <c r="B182" s="10" t="n"/>
      <c r="C182" s="10" t="n"/>
      <c r="D182" s="10" t="n"/>
      <c r="E182" s="10" t="n"/>
      <c r="F182" s="10" t="n"/>
      <c r="G182" s="10" t="n"/>
      <c r="H182" s="10" t="n"/>
      <c r="I182" s="12">
        <f>IF($A182="","",MAX(C182-B182,0))</f>
        <v/>
      </c>
      <c r="J182" s="11">
        <f>IF($A182="","",IFERROR(B182/C182,0))</f>
        <v/>
      </c>
      <c r="K182" s="11">
        <f>IF($A182="","",IFERROR(D182/E182,0))</f>
        <v/>
      </c>
      <c r="L182" s="12">
        <f>IF($A182="","",IFERROR(F182/7,0))</f>
        <v/>
      </c>
      <c r="M182" s="12">
        <f>IF($A182="","",ROUND(IFERROR(G182/7,0),0))</f>
        <v/>
      </c>
      <c r="N182" s="11">
        <f>IF($A182="","",IFERROR(H182/C182,0))</f>
        <v/>
      </c>
      <c r="O182" s="11">
        <f>IF($A182="","",IFERROR(B182/C182,0))</f>
        <v/>
      </c>
      <c r="P182" s="11">
        <f>IF($A182="","",MAX(0,AVERAGE(J182,K182,1-N182)))</f>
        <v/>
      </c>
    </row>
    <row r="183" ht="22" customHeight="1">
      <c r="A183" s="9" t="n"/>
      <c r="B183" s="10" t="n"/>
      <c r="C183" s="10" t="n"/>
      <c r="D183" s="10" t="n"/>
      <c r="E183" s="10" t="n"/>
      <c r="F183" s="10" t="n"/>
      <c r="G183" s="10" t="n"/>
      <c r="H183" s="10" t="n"/>
      <c r="I183" s="12">
        <f>IF($A183="","",MAX(C183-B183,0))</f>
        <v/>
      </c>
      <c r="J183" s="11">
        <f>IF($A183="","",IFERROR(B183/C183,0))</f>
        <v/>
      </c>
      <c r="K183" s="11">
        <f>IF($A183="","",IFERROR(D183/E183,0))</f>
        <v/>
      </c>
      <c r="L183" s="12">
        <f>IF($A183="","",IFERROR(F183/7,0))</f>
        <v/>
      </c>
      <c r="M183" s="12">
        <f>IF($A183="","",ROUND(IFERROR(G183/7,0),0))</f>
        <v/>
      </c>
      <c r="N183" s="11">
        <f>IF($A183="","",IFERROR(H183/C183,0))</f>
        <v/>
      </c>
      <c r="O183" s="11">
        <f>IF($A183="","",IFERROR(B183/C183,0))</f>
        <v/>
      </c>
      <c r="P183" s="11">
        <f>IF($A183="","",MAX(0,AVERAGE(J183,K183,1-N183)))</f>
        <v/>
      </c>
    </row>
    <row r="184" ht="22" customHeight="1">
      <c r="A184" s="9" t="n"/>
      <c r="B184" s="10" t="n"/>
      <c r="C184" s="10" t="n"/>
      <c r="D184" s="10" t="n"/>
      <c r="E184" s="10" t="n"/>
      <c r="F184" s="10" t="n"/>
      <c r="G184" s="10" t="n"/>
      <c r="H184" s="10" t="n"/>
      <c r="I184" s="12">
        <f>IF($A184="","",MAX(C184-B184,0))</f>
        <v/>
      </c>
      <c r="J184" s="11">
        <f>IF($A184="","",IFERROR(B184/C184,0))</f>
        <v/>
      </c>
      <c r="K184" s="11">
        <f>IF($A184="","",IFERROR(D184/E184,0))</f>
        <v/>
      </c>
      <c r="L184" s="12">
        <f>IF($A184="","",IFERROR(F184/7,0))</f>
        <v/>
      </c>
      <c r="M184" s="12">
        <f>IF($A184="","",ROUND(IFERROR(G184/7,0),0))</f>
        <v/>
      </c>
      <c r="N184" s="11">
        <f>IF($A184="","",IFERROR(H184/C184,0))</f>
        <v/>
      </c>
      <c r="O184" s="11">
        <f>IF($A184="","",IFERROR(B184/C184,0))</f>
        <v/>
      </c>
      <c r="P184" s="11">
        <f>IF($A184="","",MAX(0,AVERAGE(J184,K184,1-N184)))</f>
        <v/>
      </c>
    </row>
    <row r="185" ht="22" customHeight="1">
      <c r="A185" s="9" t="n"/>
      <c r="B185" s="10" t="n"/>
      <c r="C185" s="10" t="n"/>
      <c r="D185" s="10" t="n"/>
      <c r="E185" s="10" t="n"/>
      <c r="F185" s="10" t="n"/>
      <c r="G185" s="10" t="n"/>
      <c r="H185" s="10" t="n"/>
      <c r="I185" s="12">
        <f>IF($A185="","",MAX(C185-B185,0))</f>
        <v/>
      </c>
      <c r="J185" s="11">
        <f>IF($A185="","",IFERROR(B185/C185,0))</f>
        <v/>
      </c>
      <c r="K185" s="11">
        <f>IF($A185="","",IFERROR(D185/E185,0))</f>
        <v/>
      </c>
      <c r="L185" s="12">
        <f>IF($A185="","",IFERROR(F185/7,0))</f>
        <v/>
      </c>
      <c r="M185" s="12">
        <f>IF($A185="","",ROUND(IFERROR(G185/7,0),0))</f>
        <v/>
      </c>
      <c r="N185" s="11">
        <f>IF($A185="","",IFERROR(H185/C185,0))</f>
        <v/>
      </c>
      <c r="O185" s="11">
        <f>IF($A185="","",IFERROR(B185/C185,0))</f>
        <v/>
      </c>
      <c r="P185" s="11">
        <f>IF($A185="","",MAX(0,AVERAGE(J185,K185,1-N185)))</f>
        <v/>
      </c>
    </row>
    <row r="186" ht="22" customHeight="1">
      <c r="A186" s="9" t="n"/>
      <c r="B186" s="10" t="n"/>
      <c r="C186" s="10" t="n"/>
      <c r="D186" s="10" t="n"/>
      <c r="E186" s="10" t="n"/>
      <c r="F186" s="10" t="n"/>
      <c r="G186" s="10" t="n"/>
      <c r="H186" s="10" t="n"/>
      <c r="I186" s="12">
        <f>IF($A186="","",MAX(C186-B186,0))</f>
        <v/>
      </c>
      <c r="J186" s="11">
        <f>IF($A186="","",IFERROR(B186/C186,0))</f>
        <v/>
      </c>
      <c r="K186" s="11">
        <f>IF($A186="","",IFERROR(D186/E186,0))</f>
        <v/>
      </c>
      <c r="L186" s="12">
        <f>IF($A186="","",IFERROR(F186/7,0))</f>
        <v/>
      </c>
      <c r="M186" s="12">
        <f>IF($A186="","",ROUND(IFERROR(G186/7,0),0))</f>
        <v/>
      </c>
      <c r="N186" s="11">
        <f>IF($A186="","",IFERROR(H186/C186,0))</f>
        <v/>
      </c>
      <c r="O186" s="11">
        <f>IF($A186="","",IFERROR(B186/C186,0))</f>
        <v/>
      </c>
      <c r="P186" s="11">
        <f>IF($A186="","",MAX(0,AVERAGE(J186,K186,1-N186)))</f>
        <v/>
      </c>
    </row>
    <row r="187" ht="22" customHeight="1">
      <c r="A187" s="9" t="n"/>
      <c r="B187" s="10" t="n"/>
      <c r="C187" s="10" t="n"/>
      <c r="D187" s="10" t="n"/>
      <c r="E187" s="10" t="n"/>
      <c r="F187" s="10" t="n"/>
      <c r="G187" s="10" t="n"/>
      <c r="H187" s="10" t="n"/>
      <c r="I187" s="12">
        <f>IF($A187="","",MAX(C187-B187,0))</f>
        <v/>
      </c>
      <c r="J187" s="11">
        <f>IF($A187="","",IFERROR(B187/C187,0))</f>
        <v/>
      </c>
      <c r="K187" s="11">
        <f>IF($A187="","",IFERROR(D187/E187,0))</f>
        <v/>
      </c>
      <c r="L187" s="12">
        <f>IF($A187="","",IFERROR(F187/7,0))</f>
        <v/>
      </c>
      <c r="M187" s="12">
        <f>IF($A187="","",ROUND(IFERROR(G187/7,0),0))</f>
        <v/>
      </c>
      <c r="N187" s="11">
        <f>IF($A187="","",IFERROR(H187/C187,0))</f>
        <v/>
      </c>
      <c r="O187" s="11">
        <f>IF($A187="","",IFERROR(B187/C187,0))</f>
        <v/>
      </c>
      <c r="P187" s="11">
        <f>IF($A187="","",MAX(0,AVERAGE(J187,K187,1-N187)))</f>
        <v/>
      </c>
    </row>
    <row r="188" ht="22" customHeight="1">
      <c r="A188" s="9" t="n"/>
      <c r="B188" s="10" t="n"/>
      <c r="C188" s="10" t="n"/>
      <c r="D188" s="10" t="n"/>
      <c r="E188" s="10" t="n"/>
      <c r="F188" s="10" t="n"/>
      <c r="G188" s="10" t="n"/>
      <c r="H188" s="10" t="n"/>
      <c r="I188" s="12">
        <f>IF($A188="","",MAX(C188-B188,0))</f>
        <v/>
      </c>
      <c r="J188" s="11">
        <f>IF($A188="","",IFERROR(B188/C188,0))</f>
        <v/>
      </c>
      <c r="K188" s="11">
        <f>IF($A188="","",IFERROR(D188/E188,0))</f>
        <v/>
      </c>
      <c r="L188" s="12">
        <f>IF($A188="","",IFERROR(F188/7,0))</f>
        <v/>
      </c>
      <c r="M188" s="12">
        <f>IF($A188="","",ROUND(IFERROR(G188/7,0),0))</f>
        <v/>
      </c>
      <c r="N188" s="11">
        <f>IF($A188="","",IFERROR(H188/C188,0))</f>
        <v/>
      </c>
      <c r="O188" s="11">
        <f>IF($A188="","",IFERROR(B188/C188,0))</f>
        <v/>
      </c>
      <c r="P188" s="11">
        <f>IF($A188="","",MAX(0,AVERAGE(J188,K188,1-N188)))</f>
        <v/>
      </c>
    </row>
    <row r="189" ht="22" customHeight="1">
      <c r="A189" s="9" t="n"/>
      <c r="B189" s="10" t="n"/>
      <c r="C189" s="10" t="n"/>
      <c r="D189" s="10" t="n"/>
      <c r="E189" s="10" t="n"/>
      <c r="F189" s="10" t="n"/>
      <c r="G189" s="10" t="n"/>
      <c r="H189" s="10" t="n"/>
      <c r="I189" s="12">
        <f>IF($A189="","",MAX(C189-B189,0))</f>
        <v/>
      </c>
      <c r="J189" s="11">
        <f>IF($A189="","",IFERROR(B189/C189,0))</f>
        <v/>
      </c>
      <c r="K189" s="11">
        <f>IF($A189="","",IFERROR(D189/E189,0))</f>
        <v/>
      </c>
      <c r="L189" s="12">
        <f>IF($A189="","",IFERROR(F189/7,0))</f>
        <v/>
      </c>
      <c r="M189" s="12">
        <f>IF($A189="","",ROUND(IFERROR(G189/7,0),0))</f>
        <v/>
      </c>
      <c r="N189" s="11">
        <f>IF($A189="","",IFERROR(H189/C189,0))</f>
        <v/>
      </c>
      <c r="O189" s="11">
        <f>IF($A189="","",IFERROR(B189/C189,0))</f>
        <v/>
      </c>
      <c r="P189" s="11">
        <f>IF($A189="","",MAX(0,AVERAGE(J189,K189,1-N189)))</f>
        <v/>
      </c>
    </row>
    <row r="190" ht="22" customHeight="1">
      <c r="A190" s="9" t="n"/>
      <c r="B190" s="10" t="n"/>
      <c r="C190" s="10" t="n"/>
      <c r="D190" s="10" t="n"/>
      <c r="E190" s="10" t="n"/>
      <c r="F190" s="10" t="n"/>
      <c r="G190" s="10" t="n"/>
      <c r="H190" s="10" t="n"/>
      <c r="I190" s="12">
        <f>IF($A190="","",MAX(C190-B190,0))</f>
        <v/>
      </c>
      <c r="J190" s="11">
        <f>IF($A190="","",IFERROR(B190/C190,0))</f>
        <v/>
      </c>
      <c r="K190" s="11">
        <f>IF($A190="","",IFERROR(D190/E190,0))</f>
        <v/>
      </c>
      <c r="L190" s="12">
        <f>IF($A190="","",IFERROR(F190/7,0))</f>
        <v/>
      </c>
      <c r="M190" s="12">
        <f>IF($A190="","",ROUND(IFERROR(G190/7,0),0))</f>
        <v/>
      </c>
      <c r="N190" s="11">
        <f>IF($A190="","",IFERROR(H190/C190,0))</f>
        <v/>
      </c>
      <c r="O190" s="11">
        <f>IF($A190="","",IFERROR(B190/C190,0))</f>
        <v/>
      </c>
      <c r="P190" s="11">
        <f>IF($A190="","",MAX(0,AVERAGE(J190,K190,1-N190)))</f>
        <v/>
      </c>
    </row>
    <row r="191" ht="22" customHeight="1">
      <c r="A191" s="9" t="n"/>
      <c r="B191" s="10" t="n"/>
      <c r="C191" s="10" t="n"/>
      <c r="D191" s="10" t="n"/>
      <c r="E191" s="10" t="n"/>
      <c r="F191" s="10" t="n"/>
      <c r="G191" s="10" t="n"/>
      <c r="H191" s="10" t="n"/>
      <c r="I191" s="12">
        <f>IF($A191="","",MAX(C191-B191,0))</f>
        <v/>
      </c>
      <c r="J191" s="11">
        <f>IF($A191="","",IFERROR(B191/C191,0))</f>
        <v/>
      </c>
      <c r="K191" s="11">
        <f>IF($A191="","",IFERROR(D191/E191,0))</f>
        <v/>
      </c>
      <c r="L191" s="12">
        <f>IF($A191="","",IFERROR(F191/7,0))</f>
        <v/>
      </c>
      <c r="M191" s="12">
        <f>IF($A191="","",ROUND(IFERROR(G191/7,0),0))</f>
        <v/>
      </c>
      <c r="N191" s="11">
        <f>IF($A191="","",IFERROR(H191/C191,0))</f>
        <v/>
      </c>
      <c r="O191" s="11">
        <f>IF($A191="","",IFERROR(B191/C191,0))</f>
        <v/>
      </c>
      <c r="P191" s="11">
        <f>IF($A191="","",MAX(0,AVERAGE(J191,K191,1-N191)))</f>
        <v/>
      </c>
    </row>
    <row r="192" ht="22" customHeight="1">
      <c r="A192" s="9" t="n"/>
      <c r="B192" s="10" t="n"/>
      <c r="C192" s="10" t="n"/>
      <c r="D192" s="10" t="n"/>
      <c r="E192" s="10" t="n"/>
      <c r="F192" s="10" t="n"/>
      <c r="G192" s="10" t="n"/>
      <c r="H192" s="10" t="n"/>
      <c r="I192" s="12">
        <f>IF($A192="","",MAX(C192-B192,0))</f>
        <v/>
      </c>
      <c r="J192" s="11">
        <f>IF($A192="","",IFERROR(B192/C192,0))</f>
        <v/>
      </c>
      <c r="K192" s="11">
        <f>IF($A192="","",IFERROR(D192/E192,0))</f>
        <v/>
      </c>
      <c r="L192" s="12">
        <f>IF($A192="","",IFERROR(F192/7,0))</f>
        <v/>
      </c>
      <c r="M192" s="12">
        <f>IF($A192="","",ROUND(IFERROR(G192/7,0),0))</f>
        <v/>
      </c>
      <c r="N192" s="11">
        <f>IF($A192="","",IFERROR(H192/C192,0))</f>
        <v/>
      </c>
      <c r="O192" s="11">
        <f>IF($A192="","",IFERROR(B192/C192,0))</f>
        <v/>
      </c>
      <c r="P192" s="11">
        <f>IF($A192="","",MAX(0,AVERAGE(J192,K192,1-N192)))</f>
        <v/>
      </c>
    </row>
    <row r="193" ht="22" customHeight="1">
      <c r="A193" s="9" t="n"/>
      <c r="B193" s="10" t="n"/>
      <c r="C193" s="10" t="n"/>
      <c r="D193" s="10" t="n"/>
      <c r="E193" s="10" t="n"/>
      <c r="F193" s="10" t="n"/>
      <c r="G193" s="10" t="n"/>
      <c r="H193" s="10" t="n"/>
      <c r="I193" s="12">
        <f>IF($A193="","",MAX(C193-B193,0))</f>
        <v/>
      </c>
      <c r="J193" s="11">
        <f>IF($A193="","",IFERROR(B193/C193,0))</f>
        <v/>
      </c>
      <c r="K193" s="11">
        <f>IF($A193="","",IFERROR(D193/E193,0))</f>
        <v/>
      </c>
      <c r="L193" s="12">
        <f>IF($A193="","",IFERROR(F193/7,0))</f>
        <v/>
      </c>
      <c r="M193" s="12">
        <f>IF($A193="","",ROUND(IFERROR(G193/7,0),0))</f>
        <v/>
      </c>
      <c r="N193" s="11">
        <f>IF($A193="","",IFERROR(H193/C193,0))</f>
        <v/>
      </c>
      <c r="O193" s="11">
        <f>IF($A193="","",IFERROR(B193/C193,0))</f>
        <v/>
      </c>
      <c r="P193" s="11">
        <f>IF($A193="","",MAX(0,AVERAGE(J193,K193,1-N193)))</f>
        <v/>
      </c>
    </row>
    <row r="194" ht="22" customHeight="1">
      <c r="A194" s="9" t="n"/>
      <c r="B194" s="10" t="n"/>
      <c r="C194" s="10" t="n"/>
      <c r="D194" s="10" t="n"/>
      <c r="E194" s="10" t="n"/>
      <c r="F194" s="10" t="n"/>
      <c r="G194" s="10" t="n"/>
      <c r="H194" s="10" t="n"/>
      <c r="I194" s="12">
        <f>IF($A194="","",MAX(C194-B194,0))</f>
        <v/>
      </c>
      <c r="J194" s="11">
        <f>IF($A194="","",IFERROR(B194/C194,0))</f>
        <v/>
      </c>
      <c r="K194" s="11">
        <f>IF($A194="","",IFERROR(D194/E194,0))</f>
        <v/>
      </c>
      <c r="L194" s="12">
        <f>IF($A194="","",IFERROR(F194/7,0))</f>
        <v/>
      </c>
      <c r="M194" s="12">
        <f>IF($A194="","",ROUND(IFERROR(G194/7,0),0))</f>
        <v/>
      </c>
      <c r="N194" s="11">
        <f>IF($A194="","",IFERROR(H194/C194,0))</f>
        <v/>
      </c>
      <c r="O194" s="11">
        <f>IF($A194="","",IFERROR(B194/C194,0))</f>
        <v/>
      </c>
      <c r="P194" s="11">
        <f>IF($A194="","",MAX(0,AVERAGE(J194,K194,1-N194)))</f>
        <v/>
      </c>
    </row>
    <row r="195" ht="22" customHeight="1">
      <c r="A195" s="9" t="n"/>
      <c r="B195" s="10" t="n"/>
      <c r="C195" s="10" t="n"/>
      <c r="D195" s="10" t="n"/>
      <c r="E195" s="10" t="n"/>
      <c r="F195" s="10" t="n"/>
      <c r="G195" s="10" t="n"/>
      <c r="H195" s="10" t="n"/>
      <c r="I195" s="12">
        <f>IF($A195="","",MAX(C195-B195,0))</f>
        <v/>
      </c>
      <c r="J195" s="11">
        <f>IF($A195="","",IFERROR(B195/C195,0))</f>
        <v/>
      </c>
      <c r="K195" s="11">
        <f>IF($A195="","",IFERROR(D195/E195,0))</f>
        <v/>
      </c>
      <c r="L195" s="12">
        <f>IF($A195="","",IFERROR(F195/7,0))</f>
        <v/>
      </c>
      <c r="M195" s="12">
        <f>IF($A195="","",ROUND(IFERROR(G195/7,0),0))</f>
        <v/>
      </c>
      <c r="N195" s="11">
        <f>IF($A195="","",IFERROR(H195/C195,0))</f>
        <v/>
      </c>
      <c r="O195" s="11">
        <f>IF($A195="","",IFERROR(B195/C195,0))</f>
        <v/>
      </c>
      <c r="P195" s="11">
        <f>IF($A195="","",MAX(0,AVERAGE(J195,K195,1-N195)))</f>
        <v/>
      </c>
    </row>
    <row r="196" ht="22" customHeight="1">
      <c r="A196" s="9" t="n"/>
      <c r="B196" s="10" t="n"/>
      <c r="C196" s="10" t="n"/>
      <c r="D196" s="10" t="n"/>
      <c r="E196" s="10" t="n"/>
      <c r="F196" s="10" t="n"/>
      <c r="G196" s="10" t="n"/>
      <c r="H196" s="10" t="n"/>
      <c r="I196" s="12">
        <f>IF($A196="","",MAX(C196-B196,0))</f>
        <v/>
      </c>
      <c r="J196" s="11">
        <f>IF($A196="","",IFERROR(B196/C196,0))</f>
        <v/>
      </c>
      <c r="K196" s="11">
        <f>IF($A196="","",IFERROR(D196/E196,0))</f>
        <v/>
      </c>
      <c r="L196" s="12">
        <f>IF($A196="","",IFERROR(F196/7,0))</f>
        <v/>
      </c>
      <c r="M196" s="12">
        <f>IF($A196="","",ROUND(IFERROR(G196/7,0),0))</f>
        <v/>
      </c>
      <c r="N196" s="11">
        <f>IF($A196="","",IFERROR(H196/C196,0))</f>
        <v/>
      </c>
      <c r="O196" s="11">
        <f>IF($A196="","",IFERROR(B196/C196,0))</f>
        <v/>
      </c>
      <c r="P196" s="11">
        <f>IF($A196="","",MAX(0,AVERAGE(J196,K196,1-N196)))</f>
        <v/>
      </c>
    </row>
    <row r="197" ht="22" customHeight="1">
      <c r="A197" s="9" t="n"/>
      <c r="B197" s="10" t="n"/>
      <c r="C197" s="10" t="n"/>
      <c r="D197" s="10" t="n"/>
      <c r="E197" s="10" t="n"/>
      <c r="F197" s="10" t="n"/>
      <c r="G197" s="10" t="n"/>
      <c r="H197" s="10" t="n"/>
      <c r="I197" s="12">
        <f>IF($A197="","",MAX(C197-B197,0))</f>
        <v/>
      </c>
      <c r="J197" s="11">
        <f>IF($A197="","",IFERROR(B197/C197,0))</f>
        <v/>
      </c>
      <c r="K197" s="11">
        <f>IF($A197="","",IFERROR(D197/E197,0))</f>
        <v/>
      </c>
      <c r="L197" s="12">
        <f>IF($A197="","",IFERROR(F197/7,0))</f>
        <v/>
      </c>
      <c r="M197" s="12">
        <f>IF($A197="","",ROUND(IFERROR(G197/7,0),0))</f>
        <v/>
      </c>
      <c r="N197" s="11">
        <f>IF($A197="","",IFERROR(H197/C197,0))</f>
        <v/>
      </c>
      <c r="O197" s="11">
        <f>IF($A197="","",IFERROR(B197/C197,0))</f>
        <v/>
      </c>
      <c r="P197" s="11">
        <f>IF($A197="","",MAX(0,AVERAGE(J197,K197,1-N197)))</f>
        <v/>
      </c>
    </row>
    <row r="198" ht="22" customHeight="1">
      <c r="A198" s="9" t="n"/>
      <c r="B198" s="10" t="n"/>
      <c r="C198" s="10" t="n"/>
      <c r="D198" s="10" t="n"/>
      <c r="E198" s="10" t="n"/>
      <c r="F198" s="10" t="n"/>
      <c r="G198" s="10" t="n"/>
      <c r="H198" s="10" t="n"/>
      <c r="I198" s="12">
        <f>IF($A198="","",MAX(C198-B198,0))</f>
        <v/>
      </c>
      <c r="J198" s="11">
        <f>IF($A198="","",IFERROR(B198/C198,0))</f>
        <v/>
      </c>
      <c r="K198" s="11">
        <f>IF($A198="","",IFERROR(D198/E198,0))</f>
        <v/>
      </c>
      <c r="L198" s="12">
        <f>IF($A198="","",IFERROR(F198/7,0))</f>
        <v/>
      </c>
      <c r="M198" s="12">
        <f>IF($A198="","",ROUND(IFERROR(G198/7,0),0))</f>
        <v/>
      </c>
      <c r="N198" s="11">
        <f>IF($A198="","",IFERROR(H198/C198,0))</f>
        <v/>
      </c>
      <c r="O198" s="11">
        <f>IF($A198="","",IFERROR(B198/C198,0))</f>
        <v/>
      </c>
      <c r="P198" s="11">
        <f>IF($A198="","",MAX(0,AVERAGE(J198,K198,1-N198)))</f>
        <v/>
      </c>
    </row>
    <row r="199" ht="22" customHeight="1">
      <c r="A199" s="9" t="n"/>
      <c r="B199" s="10" t="n"/>
      <c r="C199" s="10" t="n"/>
      <c r="D199" s="10" t="n"/>
      <c r="E199" s="10" t="n"/>
      <c r="F199" s="10" t="n"/>
      <c r="G199" s="10" t="n"/>
      <c r="H199" s="10" t="n"/>
      <c r="I199" s="12">
        <f>IF($A199="","",MAX(C199-B199,0))</f>
        <v/>
      </c>
      <c r="J199" s="11">
        <f>IF($A199="","",IFERROR(B199/C199,0))</f>
        <v/>
      </c>
      <c r="K199" s="11">
        <f>IF($A199="","",IFERROR(D199/E199,0))</f>
        <v/>
      </c>
      <c r="L199" s="12">
        <f>IF($A199="","",IFERROR(F199/7,0))</f>
        <v/>
      </c>
      <c r="M199" s="12">
        <f>IF($A199="","",ROUND(IFERROR(G199/7,0),0))</f>
        <v/>
      </c>
      <c r="N199" s="11">
        <f>IF($A199="","",IFERROR(H199/C199,0))</f>
        <v/>
      </c>
      <c r="O199" s="11">
        <f>IF($A199="","",IFERROR(B199/C199,0))</f>
        <v/>
      </c>
      <c r="P199" s="11">
        <f>IF($A199="","",MAX(0,AVERAGE(J199,K199,1-N199)))</f>
        <v/>
      </c>
    </row>
    <row r="200" ht="22" customHeight="1">
      <c r="A200" s="9" t="n"/>
      <c r="B200" s="10" t="n"/>
      <c r="C200" s="10" t="n"/>
      <c r="D200" s="10" t="n"/>
      <c r="E200" s="10" t="n"/>
      <c r="F200" s="10" t="n"/>
      <c r="G200" s="10" t="n"/>
      <c r="H200" s="10" t="n"/>
      <c r="I200" s="12">
        <f>IF($A200="","",MAX(C200-B200,0))</f>
        <v/>
      </c>
      <c r="J200" s="11">
        <f>IF($A200="","",IFERROR(B200/C200,0))</f>
        <v/>
      </c>
      <c r="K200" s="11">
        <f>IF($A200="","",IFERROR(D200/E200,0))</f>
        <v/>
      </c>
      <c r="L200" s="12">
        <f>IF($A200="","",IFERROR(F200/7,0))</f>
        <v/>
      </c>
      <c r="M200" s="12">
        <f>IF($A200="","",ROUND(IFERROR(G200/7,0),0))</f>
        <v/>
      </c>
      <c r="N200" s="11">
        <f>IF($A200="","",IFERROR(H200/C200,0))</f>
        <v/>
      </c>
      <c r="O200" s="11">
        <f>IF($A200="","",IFERROR(B200/C200,0))</f>
        <v/>
      </c>
      <c r="P200" s="11">
        <f>IF($A200="","",MAX(0,AVERAGE(J200,K200,1-N200)))</f>
        <v/>
      </c>
    </row>
  </sheetData>
  <autoFilter ref="A1:P200"/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D1D5DB"/>
    <outlinePr summaryBelow="1" summaryRight="1"/>
    <pageSetUpPr/>
  </sheetPr>
  <dimension ref="A1:N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2" customWidth="1" min="2" max="2"/>
    <col width="22" customWidth="1" min="3" max="3"/>
    <col width="19" customWidth="1" min="4" max="4"/>
    <col width="23" customWidth="1" min="5" max="5"/>
    <col width="17" customWidth="1" min="6" max="6"/>
    <col width="19" customWidth="1" min="7" max="7"/>
    <col width="15" customWidth="1" min="8" max="8"/>
    <col width="19" customWidth="1" min="9" max="9"/>
    <col width="32" customWidth="1" min="10" max="10"/>
    <col width="32" customWidth="1" min="11" max="11"/>
    <col width="32" customWidth="1" min="12" max="12"/>
    <col width="25" customWidth="1" min="13" max="13"/>
    <col width="32" customWidth="1" min="14" max="14"/>
  </cols>
  <sheetData>
    <row r="1" ht="30" customHeight="1">
      <c r="A1" s="7" t="inlineStr">
        <is>
          <t>week_start</t>
        </is>
      </c>
      <c r="B1" s="7" t="inlineStr">
        <is>
          <t>nombre_beneficiaires</t>
        </is>
      </c>
      <c r="C1" s="7" t="inlineStr">
        <is>
          <t>beneficiaires_actifs</t>
        </is>
      </c>
      <c r="D1" s="7" t="inlineStr">
        <is>
          <t>revenus_estimes</t>
        </is>
      </c>
      <c r="E1" s="7" t="inlineStr">
        <is>
          <t>beneficiaires_initial</t>
        </is>
      </c>
      <c r="F1" s="7" t="inlineStr">
        <is>
          <t>emplois_directs</t>
        </is>
      </c>
      <c r="G1" s="7" t="inlineStr">
        <is>
          <t>emplois_indirects</t>
        </is>
      </c>
      <c r="H1" s="7" t="inlineStr">
        <is>
          <t>revenus_avant</t>
        </is>
      </c>
      <c r="I1" s="7" t="inlineStr">
        <is>
          <t>revenus_apres</t>
        </is>
      </c>
      <c r="J1" s="8" t="inlineStr">
        <is>
          <t>revenu_moyen_estime_hebdo</t>
        </is>
      </c>
      <c r="K1" s="8" t="inlineStr">
        <is>
          <t>revenu_moyen_reel</t>
        </is>
      </c>
      <c r="L1" s="8" t="inlineStr">
        <is>
          <t>taux_maintien</t>
        </is>
      </c>
      <c r="M1" s="8" t="inlineStr">
        <is>
          <t>emplois_crees</t>
        </is>
      </c>
      <c r="N1" s="8" t="inlineStr">
        <is>
          <t>amelioration_revenus</t>
        </is>
      </c>
    </row>
    <row r="2" ht="22" customHeight="1">
      <c r="A2" s="9" t="n">
        <v>46027</v>
      </c>
      <c r="B2" s="10" t="n">
        <v>181</v>
      </c>
      <c r="C2" s="10" t="n">
        <v>160</v>
      </c>
      <c r="D2" s="10" t="n">
        <v>14998461.64205944</v>
      </c>
      <c r="E2" s="10" t="n">
        <v>180</v>
      </c>
      <c r="F2" s="10" t="n">
        <v>168</v>
      </c>
      <c r="G2" s="10" t="n">
        <v>44</v>
      </c>
      <c r="H2" s="10" t="n">
        <v>11520000</v>
      </c>
      <c r="I2" s="10" t="n">
        <v>14998461.64205944</v>
      </c>
      <c r="J2" s="13">
        <f>IF($A2="","",IFERROR(D2/B2,0))</f>
        <v/>
      </c>
      <c r="K2" s="13">
        <f>IF($A2="","",IFERROR(I2/B2,0))</f>
        <v/>
      </c>
      <c r="L2" s="11">
        <f>IF($A2="","",IFERROR(C2/E2,0))</f>
        <v/>
      </c>
      <c r="M2" s="12">
        <f>IF($A2="","",F2+G2)</f>
        <v/>
      </c>
      <c r="N2" s="11">
        <f>IF($A2="","",IFERROR(I2/H2-1,0))</f>
        <v/>
      </c>
    </row>
    <row r="3" ht="22" customHeight="1">
      <c r="A3" s="9" t="n">
        <v>46034</v>
      </c>
      <c r="B3" s="10" t="n">
        <v>182</v>
      </c>
      <c r="C3" s="10" t="n">
        <v>169</v>
      </c>
      <c r="D3" s="10" t="n">
        <v>16090023.37071103</v>
      </c>
      <c r="E3" s="10" t="n">
        <v>180</v>
      </c>
      <c r="F3" s="10" t="n">
        <v>177</v>
      </c>
      <c r="G3" s="10" t="n">
        <v>47</v>
      </c>
      <c r="H3" s="10" t="n">
        <v>12168000</v>
      </c>
      <c r="I3" s="10" t="n">
        <v>16090023.37071103</v>
      </c>
      <c r="J3" s="13">
        <f>IF($A3="","",IFERROR(D3/B3,0))</f>
        <v/>
      </c>
      <c r="K3" s="13">
        <f>IF($A3="","",IFERROR(I3/B3,0))</f>
        <v/>
      </c>
      <c r="L3" s="11">
        <f>IF($A3="","",IFERROR(C3/E3,0))</f>
        <v/>
      </c>
      <c r="M3" s="12">
        <f>IF($A3="","",F3+G3)</f>
        <v/>
      </c>
      <c r="N3" s="11">
        <f>IF($A3="","",IFERROR(I3/H3-1,0))</f>
        <v/>
      </c>
    </row>
    <row r="4" ht="22" customHeight="1">
      <c r="A4" s="9" t="n">
        <v>46041</v>
      </c>
      <c r="B4" s="10" t="n">
        <v>183</v>
      </c>
      <c r="C4" s="10" t="n">
        <v>166</v>
      </c>
      <c r="D4" s="10" t="n">
        <v>15204897.93257195</v>
      </c>
      <c r="E4" s="10" t="n">
        <v>180</v>
      </c>
      <c r="F4" s="10" t="n">
        <v>174</v>
      </c>
      <c r="G4" s="10" t="n">
        <v>46</v>
      </c>
      <c r="H4" s="10" t="n">
        <v>11952000</v>
      </c>
      <c r="I4" s="10" t="n">
        <v>15204897.93257195</v>
      </c>
      <c r="J4" s="13">
        <f>IF($A4="","",IFERROR(D4/B4,0))</f>
        <v/>
      </c>
      <c r="K4" s="13">
        <f>IF($A4="","",IFERROR(I4/B4,0))</f>
        <v/>
      </c>
      <c r="L4" s="11">
        <f>IF($A4="","",IFERROR(C4/E4,0))</f>
        <v/>
      </c>
      <c r="M4" s="12">
        <f>IF($A4="","",F4+G4)</f>
        <v/>
      </c>
      <c r="N4" s="11">
        <f>IF($A4="","",IFERROR(I4/H4-1,0))</f>
        <v/>
      </c>
    </row>
    <row r="5" ht="22" customHeight="1">
      <c r="A5" s="9" t="n">
        <v>46048</v>
      </c>
      <c r="B5" s="10" t="n">
        <v>184</v>
      </c>
      <c r="C5" s="10" t="n">
        <v>170</v>
      </c>
      <c r="D5" s="10" t="n">
        <v>15892938.83169367</v>
      </c>
      <c r="E5" s="10" t="n">
        <v>180</v>
      </c>
      <c r="F5" s="10" t="n">
        <v>178</v>
      </c>
      <c r="G5" s="10" t="n">
        <v>47</v>
      </c>
      <c r="H5" s="10" t="n">
        <v>12240000</v>
      </c>
      <c r="I5" s="10" t="n">
        <v>15892938.83169367</v>
      </c>
      <c r="J5" s="13">
        <f>IF($A5="","",IFERROR(D5/B5,0))</f>
        <v/>
      </c>
      <c r="K5" s="13">
        <f>IF($A5="","",IFERROR(I5/B5,0))</f>
        <v/>
      </c>
      <c r="L5" s="11">
        <f>IF($A5="","",IFERROR(C5/E5,0))</f>
        <v/>
      </c>
      <c r="M5" s="12">
        <f>IF($A5="","",F5+G5)</f>
        <v/>
      </c>
      <c r="N5" s="11">
        <f>IF($A5="","",IFERROR(I5/H5-1,0))</f>
        <v/>
      </c>
    </row>
    <row r="6" ht="22" customHeight="1">
      <c r="A6" s="9" t="n">
        <v>46055</v>
      </c>
      <c r="B6" s="10" t="n">
        <v>185</v>
      </c>
      <c r="C6" s="10" t="n">
        <v>176</v>
      </c>
      <c r="D6" s="10" t="n">
        <v>16059408.27266481</v>
      </c>
      <c r="E6" s="10" t="n">
        <v>180</v>
      </c>
      <c r="F6" s="10" t="n">
        <v>184</v>
      </c>
      <c r="G6" s="10" t="n">
        <v>49</v>
      </c>
      <c r="H6" s="10" t="n">
        <v>12672000</v>
      </c>
      <c r="I6" s="10" t="n">
        <v>16059408.27266481</v>
      </c>
      <c r="J6" s="13">
        <f>IF($A6="","",IFERROR(D6/B6,0))</f>
        <v/>
      </c>
      <c r="K6" s="13">
        <f>IF($A6="","",IFERROR(I6/B6,0))</f>
        <v/>
      </c>
      <c r="L6" s="11">
        <f>IF($A6="","",IFERROR(C6/E6,0))</f>
        <v/>
      </c>
      <c r="M6" s="12">
        <f>IF($A6="","",F6+G6)</f>
        <v/>
      </c>
      <c r="N6" s="11">
        <f>IF($A6="","",IFERROR(I6/H6-1,0))</f>
        <v/>
      </c>
    </row>
    <row r="7" ht="22" customHeight="1">
      <c r="A7" s="9" t="n">
        <v>46062</v>
      </c>
      <c r="B7" s="10" t="n">
        <v>186</v>
      </c>
      <c r="C7" s="10" t="n">
        <v>172</v>
      </c>
      <c r="D7" s="10" t="n">
        <v>18774158.58959695</v>
      </c>
      <c r="E7" s="10" t="n">
        <v>180</v>
      </c>
      <c r="F7" s="10" t="n">
        <v>180</v>
      </c>
      <c r="G7" s="10" t="n">
        <v>48</v>
      </c>
      <c r="H7" s="10" t="n">
        <v>12384000</v>
      </c>
      <c r="I7" s="10" t="n">
        <v>18774158.58959695</v>
      </c>
      <c r="J7" s="13">
        <f>IF($A7="","",IFERROR(D7/B7,0))</f>
        <v/>
      </c>
      <c r="K7" s="13">
        <f>IF($A7="","",IFERROR(I7/B7,0))</f>
        <v/>
      </c>
      <c r="L7" s="11">
        <f>IF($A7="","",IFERROR(C7/E7,0))</f>
        <v/>
      </c>
      <c r="M7" s="12">
        <f>IF($A7="","",F7+G7)</f>
        <v/>
      </c>
      <c r="N7" s="11">
        <f>IF($A7="","",IFERROR(I7/H7-1,0))</f>
        <v/>
      </c>
    </row>
    <row r="8" ht="22" customHeight="1">
      <c r="A8" s="9" t="n">
        <v>46069</v>
      </c>
      <c r="B8" s="10" t="n">
        <v>187</v>
      </c>
      <c r="C8" s="10" t="n">
        <v>172</v>
      </c>
      <c r="D8" s="10" t="n">
        <v>15433351.75410171</v>
      </c>
      <c r="E8" s="10" t="n">
        <v>180</v>
      </c>
      <c r="F8" s="10" t="n">
        <v>180</v>
      </c>
      <c r="G8" s="10" t="n">
        <v>48</v>
      </c>
      <c r="H8" s="10" t="n">
        <v>12384000</v>
      </c>
      <c r="I8" s="10" t="n">
        <v>15433351.75410171</v>
      </c>
      <c r="J8" s="13">
        <f>IF($A8="","",IFERROR(D8/B8,0))</f>
        <v/>
      </c>
      <c r="K8" s="13">
        <f>IF($A8="","",IFERROR(I8/B8,0))</f>
        <v/>
      </c>
      <c r="L8" s="11">
        <f>IF($A8="","",IFERROR(C8/E8,0))</f>
        <v/>
      </c>
      <c r="M8" s="12">
        <f>IF($A8="","",F8+G8)</f>
        <v/>
      </c>
      <c r="N8" s="11">
        <f>IF($A8="","",IFERROR(I8/H8-1,0))</f>
        <v/>
      </c>
    </row>
    <row r="9" ht="22" customHeight="1">
      <c r="A9" s="9" t="n">
        <v>46076</v>
      </c>
      <c r="B9" s="10" t="n">
        <v>188</v>
      </c>
      <c r="C9" s="10" t="n">
        <v>167</v>
      </c>
      <c r="D9" s="10" t="n">
        <v>14634671.09285392</v>
      </c>
      <c r="E9" s="10" t="n">
        <v>180</v>
      </c>
      <c r="F9" s="10" t="n">
        <v>175</v>
      </c>
      <c r="G9" s="10" t="n">
        <v>46</v>
      </c>
      <c r="H9" s="10" t="n">
        <v>12024000</v>
      </c>
      <c r="I9" s="10" t="n">
        <v>14634671.09285392</v>
      </c>
      <c r="J9" s="13">
        <f>IF($A9="","",IFERROR(D9/B9,0))</f>
        <v/>
      </c>
      <c r="K9" s="13">
        <f>IF($A9="","",IFERROR(I9/B9,0))</f>
        <v/>
      </c>
      <c r="L9" s="11">
        <f>IF($A9="","",IFERROR(C9/E9,0))</f>
        <v/>
      </c>
      <c r="M9" s="12">
        <f>IF($A9="","",F9+G9)</f>
        <v/>
      </c>
      <c r="N9" s="11">
        <f>IF($A9="","",IFERROR(I9/H9-1,0))</f>
        <v/>
      </c>
    </row>
    <row r="10" ht="22" customHeight="1">
      <c r="A10" s="9" t="n">
        <v>46083</v>
      </c>
      <c r="B10" s="10" t="n">
        <v>189</v>
      </c>
      <c r="C10" s="10" t="n">
        <v>172</v>
      </c>
      <c r="D10" s="10" t="n">
        <v>14981674.35325373</v>
      </c>
      <c r="E10" s="10" t="n">
        <v>180</v>
      </c>
      <c r="F10" s="10" t="n">
        <v>180</v>
      </c>
      <c r="G10" s="10" t="n">
        <v>48</v>
      </c>
      <c r="H10" s="10" t="n">
        <v>12384000</v>
      </c>
      <c r="I10" s="10" t="n">
        <v>14981674.35325373</v>
      </c>
      <c r="J10" s="13">
        <f>IF($A10="","",IFERROR(D10/B10,0))</f>
        <v/>
      </c>
      <c r="K10" s="13">
        <f>IF($A10="","",IFERROR(I10/B10,0))</f>
        <v/>
      </c>
      <c r="L10" s="11">
        <f>IF($A10="","",IFERROR(C10/E10,0))</f>
        <v/>
      </c>
      <c r="M10" s="12">
        <f>IF($A10="","",F10+G10)</f>
        <v/>
      </c>
      <c r="N10" s="11">
        <f>IF($A10="","",IFERROR(I10/H10-1,0))</f>
        <v/>
      </c>
    </row>
    <row r="11" ht="22" customHeight="1">
      <c r="A11" s="9" t="n">
        <v>46090</v>
      </c>
      <c r="B11" s="10" t="n">
        <v>190</v>
      </c>
      <c r="C11" s="10" t="n">
        <v>175</v>
      </c>
      <c r="D11" s="10" t="n">
        <v>15854726.7395383</v>
      </c>
      <c r="E11" s="10" t="n">
        <v>180</v>
      </c>
      <c r="F11" s="10" t="n">
        <v>183</v>
      </c>
      <c r="G11" s="10" t="n">
        <v>49</v>
      </c>
      <c r="H11" s="10" t="n">
        <v>12600000</v>
      </c>
      <c r="I11" s="10" t="n">
        <v>15854726.7395383</v>
      </c>
      <c r="J11" s="13">
        <f>IF($A11="","",IFERROR(D11/B11,0))</f>
        <v/>
      </c>
      <c r="K11" s="13">
        <f>IF($A11="","",IFERROR(I11/B11,0))</f>
        <v/>
      </c>
      <c r="L11" s="11">
        <f>IF($A11="","",IFERROR(C11/E11,0))</f>
        <v/>
      </c>
      <c r="M11" s="12">
        <f>IF($A11="","",F11+G11)</f>
        <v/>
      </c>
      <c r="N11" s="11">
        <f>IF($A11="","",IFERROR(I11/H11-1,0))</f>
        <v/>
      </c>
    </row>
    <row r="12" ht="22" customHeight="1">
      <c r="A12" s="9" t="n">
        <v>46097</v>
      </c>
      <c r="B12" s="10" t="n">
        <v>191</v>
      </c>
      <c r="C12" s="10" t="n">
        <v>169</v>
      </c>
      <c r="D12" s="10" t="n">
        <v>14677741.56360446</v>
      </c>
      <c r="E12" s="10" t="n">
        <v>180</v>
      </c>
      <c r="F12" s="10" t="n">
        <v>177</v>
      </c>
      <c r="G12" s="10" t="n">
        <v>47</v>
      </c>
      <c r="H12" s="10" t="n">
        <v>12168000</v>
      </c>
      <c r="I12" s="10" t="n">
        <v>14677741.56360446</v>
      </c>
      <c r="J12" s="13">
        <f>IF($A12="","",IFERROR(D12/B12,0))</f>
        <v/>
      </c>
      <c r="K12" s="13">
        <f>IF($A12="","",IFERROR(I12/B12,0))</f>
        <v/>
      </c>
      <c r="L12" s="11">
        <f>IF($A12="","",IFERROR(C12/E12,0))</f>
        <v/>
      </c>
      <c r="M12" s="12">
        <f>IF($A12="","",F12+G12)</f>
        <v/>
      </c>
      <c r="N12" s="11">
        <f>IF($A12="","",IFERROR(I12/H12-1,0))</f>
        <v/>
      </c>
    </row>
    <row r="13" ht="22" customHeight="1">
      <c r="A13" s="9" t="n">
        <v>46104</v>
      </c>
      <c r="B13" s="10" t="n">
        <v>192</v>
      </c>
      <c r="C13" s="10" t="n">
        <v>176</v>
      </c>
      <c r="D13" s="10" t="n">
        <v>16959885.49353378</v>
      </c>
      <c r="E13" s="10" t="n">
        <v>180</v>
      </c>
      <c r="F13" s="10" t="n">
        <v>184</v>
      </c>
      <c r="G13" s="10" t="n">
        <v>49</v>
      </c>
      <c r="H13" s="10" t="n">
        <v>12672000</v>
      </c>
      <c r="I13" s="10" t="n">
        <v>16959885.49353378</v>
      </c>
      <c r="J13" s="13">
        <f>IF($A13="","",IFERROR(D13/B13,0))</f>
        <v/>
      </c>
      <c r="K13" s="13">
        <f>IF($A13="","",IFERROR(I13/B13,0))</f>
        <v/>
      </c>
      <c r="L13" s="11">
        <f>IF($A13="","",IFERROR(C13/E13,0))</f>
        <v/>
      </c>
      <c r="M13" s="12">
        <f>IF($A13="","",F13+G13)</f>
        <v/>
      </c>
      <c r="N13" s="11">
        <f>IF($A13="","",IFERROR(I13/H13-1,0))</f>
        <v/>
      </c>
    </row>
    <row r="14" ht="22" customHeight="1">
      <c r="A14" s="9" t="n">
        <v>46111</v>
      </c>
      <c r="B14" s="10" t="n">
        <v>194</v>
      </c>
      <c r="C14" s="10" t="n">
        <v>166</v>
      </c>
      <c r="D14" s="10" t="n">
        <v>16726198.49414414</v>
      </c>
      <c r="E14" s="10" t="n">
        <v>180</v>
      </c>
      <c r="F14" s="10" t="n">
        <v>174</v>
      </c>
      <c r="G14" s="10" t="n">
        <v>46</v>
      </c>
      <c r="H14" s="10" t="n">
        <v>11952000</v>
      </c>
      <c r="I14" s="10" t="n">
        <v>16726198.49414414</v>
      </c>
      <c r="J14" s="13">
        <f>IF($A14="","",IFERROR(D14/B14,0))</f>
        <v/>
      </c>
      <c r="K14" s="13">
        <f>IF($A14="","",IFERROR(I14/B14,0))</f>
        <v/>
      </c>
      <c r="L14" s="11">
        <f>IF($A14="","",IFERROR(C14/E14,0))</f>
        <v/>
      </c>
      <c r="M14" s="12">
        <f>IF($A14="","",F14+G14)</f>
        <v/>
      </c>
      <c r="N14" s="11">
        <f>IF($A14="","",IFERROR(I14/H14-1,0))</f>
        <v/>
      </c>
    </row>
    <row r="15" ht="22" customHeight="1">
      <c r="A15" s="9" t="n">
        <v>46118</v>
      </c>
      <c r="B15" s="10" t="n">
        <v>195</v>
      </c>
      <c r="C15" s="10" t="n">
        <v>176</v>
      </c>
      <c r="D15" s="10" t="n">
        <v>17127470.94373357</v>
      </c>
      <c r="E15" s="10" t="n">
        <v>180</v>
      </c>
      <c r="F15" s="10" t="n">
        <v>184</v>
      </c>
      <c r="G15" s="10" t="n">
        <v>49</v>
      </c>
      <c r="H15" s="10" t="n">
        <v>12672000</v>
      </c>
      <c r="I15" s="10" t="n">
        <v>17127470.94373357</v>
      </c>
      <c r="J15" s="13">
        <f>IF($A15="","",IFERROR(D15/B15,0))</f>
        <v/>
      </c>
      <c r="K15" s="13">
        <f>IF($A15="","",IFERROR(I15/B15,0))</f>
        <v/>
      </c>
      <c r="L15" s="11">
        <f>IF($A15="","",IFERROR(C15/E15,0))</f>
        <v/>
      </c>
      <c r="M15" s="12">
        <f>IF($A15="","",F15+G15)</f>
        <v/>
      </c>
      <c r="N15" s="11">
        <f>IF($A15="","",IFERROR(I15/H15-1,0))</f>
        <v/>
      </c>
    </row>
    <row r="16" ht="22" customHeight="1">
      <c r="A16" s="9" t="n">
        <v>46125</v>
      </c>
      <c r="B16" s="10" t="n">
        <v>196</v>
      </c>
      <c r="C16" s="10" t="n">
        <v>181</v>
      </c>
      <c r="D16" s="10" t="n">
        <v>17233184.7925531</v>
      </c>
      <c r="E16" s="10" t="n">
        <v>180</v>
      </c>
      <c r="F16" s="10" t="n">
        <v>190</v>
      </c>
      <c r="G16" s="10" t="n">
        <v>50</v>
      </c>
      <c r="H16" s="10" t="n">
        <v>13032000</v>
      </c>
      <c r="I16" s="10" t="n">
        <v>17233184.7925531</v>
      </c>
      <c r="J16" s="13">
        <f>IF($A16="","",IFERROR(D16/B16,0))</f>
        <v/>
      </c>
      <c r="K16" s="13">
        <f>IF($A16="","",IFERROR(I16/B16,0))</f>
        <v/>
      </c>
      <c r="L16" s="11">
        <f>IF($A16="","",IFERROR(C16/E16,0))</f>
        <v/>
      </c>
      <c r="M16" s="12">
        <f>IF($A16="","",F16+G16)</f>
        <v/>
      </c>
      <c r="N16" s="11">
        <f>IF($A16="","",IFERROR(I16/H16-1,0))</f>
        <v/>
      </c>
    </row>
    <row r="17" ht="22" customHeight="1">
      <c r="A17" s="9" t="n">
        <v>46132</v>
      </c>
      <c r="B17" s="10" t="n">
        <v>197</v>
      </c>
      <c r="C17" s="10" t="n">
        <v>188</v>
      </c>
      <c r="D17" s="10" t="n">
        <v>17224553.03629661</v>
      </c>
      <c r="E17" s="10" t="n">
        <v>180</v>
      </c>
      <c r="F17" s="10" t="n">
        <v>197</v>
      </c>
      <c r="G17" s="10" t="n">
        <v>52</v>
      </c>
      <c r="H17" s="10" t="n">
        <v>13536000</v>
      </c>
      <c r="I17" s="10" t="n">
        <v>17224553.03629661</v>
      </c>
      <c r="J17" s="13">
        <f>IF($A17="","",IFERROR(D17/B17,0))</f>
        <v/>
      </c>
      <c r="K17" s="13">
        <f>IF($A17="","",IFERROR(I17/B17,0))</f>
        <v/>
      </c>
      <c r="L17" s="11">
        <f>IF($A17="","",IFERROR(C17/E17,0))</f>
        <v/>
      </c>
      <c r="M17" s="12">
        <f>IF($A17="","",F17+G17)</f>
        <v/>
      </c>
      <c r="N17" s="11">
        <f>IF($A17="","",IFERROR(I17/H17-1,0))</f>
        <v/>
      </c>
    </row>
    <row r="18" ht="22" customHeight="1">
      <c r="A18" s="9" t="n">
        <v>46139</v>
      </c>
      <c r="B18" s="10" t="n">
        <v>198</v>
      </c>
      <c r="C18" s="10" t="n">
        <v>175</v>
      </c>
      <c r="D18" s="10" t="n">
        <v>16091695.53327564</v>
      </c>
      <c r="E18" s="10" t="n">
        <v>180</v>
      </c>
      <c r="F18" s="10" t="n">
        <v>183</v>
      </c>
      <c r="G18" s="10" t="n">
        <v>49</v>
      </c>
      <c r="H18" s="10" t="n">
        <v>12600000</v>
      </c>
      <c r="I18" s="10" t="n">
        <v>16091695.53327564</v>
      </c>
      <c r="J18" s="13">
        <f>IF($A18="","",IFERROR(D18/B18,0))</f>
        <v/>
      </c>
      <c r="K18" s="13">
        <f>IF($A18="","",IFERROR(I18/B18,0))</f>
        <v/>
      </c>
      <c r="L18" s="11">
        <f>IF($A18="","",IFERROR(C18/E18,0))</f>
        <v/>
      </c>
      <c r="M18" s="12">
        <f>IF($A18="","",F18+G18)</f>
        <v/>
      </c>
      <c r="N18" s="11">
        <f>IF($A18="","",IFERROR(I18/H18-1,0))</f>
        <v/>
      </c>
    </row>
    <row r="19" ht="22" customHeight="1">
      <c r="A19" s="9" t="n">
        <v>46146</v>
      </c>
      <c r="B19" s="10" t="n">
        <v>199</v>
      </c>
      <c r="C19" s="10" t="n">
        <v>186</v>
      </c>
      <c r="D19" s="10" t="n">
        <v>19148328.58070374</v>
      </c>
      <c r="E19" s="10" t="n">
        <v>180</v>
      </c>
      <c r="F19" s="10" t="n">
        <v>195</v>
      </c>
      <c r="G19" s="10" t="n">
        <v>52</v>
      </c>
      <c r="H19" s="10" t="n">
        <v>13392000</v>
      </c>
      <c r="I19" s="10" t="n">
        <v>19148328.58070374</v>
      </c>
      <c r="J19" s="13">
        <f>IF($A19="","",IFERROR(D19/B19,0))</f>
        <v/>
      </c>
      <c r="K19" s="13">
        <f>IF($A19="","",IFERROR(I19/B19,0))</f>
        <v/>
      </c>
      <c r="L19" s="11">
        <f>IF($A19="","",IFERROR(C19/E19,0))</f>
        <v/>
      </c>
      <c r="M19" s="12">
        <f>IF($A19="","",F19+G19)</f>
        <v/>
      </c>
      <c r="N19" s="11">
        <f>IF($A19="","",IFERROR(I19/H19-1,0))</f>
        <v/>
      </c>
    </row>
    <row r="20" ht="22" customHeight="1">
      <c r="A20" s="9" t="n">
        <v>46153</v>
      </c>
      <c r="B20" s="10" t="n">
        <v>200</v>
      </c>
      <c r="C20" s="10" t="n">
        <v>178</v>
      </c>
      <c r="D20" s="10" t="n">
        <v>17054826.96752925</v>
      </c>
      <c r="E20" s="10" t="n">
        <v>180</v>
      </c>
      <c r="F20" s="10" t="n">
        <v>186</v>
      </c>
      <c r="G20" s="10" t="n">
        <v>49</v>
      </c>
      <c r="H20" s="10" t="n">
        <v>12816000</v>
      </c>
      <c r="I20" s="10" t="n">
        <v>17054826.96752925</v>
      </c>
      <c r="J20" s="13">
        <f>IF($A20="","",IFERROR(D20/B20,0))</f>
        <v/>
      </c>
      <c r="K20" s="13">
        <f>IF($A20="","",IFERROR(I20/B20,0))</f>
        <v/>
      </c>
      <c r="L20" s="11">
        <f>IF($A20="","",IFERROR(C20/E20,0))</f>
        <v/>
      </c>
      <c r="M20" s="12">
        <f>IF($A20="","",F20+G20)</f>
        <v/>
      </c>
      <c r="N20" s="11">
        <f>IF($A20="","",IFERROR(I20/H20-1,0))</f>
        <v/>
      </c>
    </row>
    <row r="21" ht="22" customHeight="1">
      <c r="A21" s="9" t="n">
        <v>46160</v>
      </c>
      <c r="B21" s="10" t="n">
        <v>201</v>
      </c>
      <c r="C21" s="10" t="n">
        <v>180</v>
      </c>
      <c r="D21" s="10" t="n">
        <v>16602454.05908456</v>
      </c>
      <c r="E21" s="10" t="n">
        <v>180</v>
      </c>
      <c r="F21" s="10" t="n">
        <v>189</v>
      </c>
      <c r="G21" s="10" t="n">
        <v>50</v>
      </c>
      <c r="H21" s="10" t="n">
        <v>12960000</v>
      </c>
      <c r="I21" s="10" t="n">
        <v>16602454.05908456</v>
      </c>
      <c r="J21" s="13">
        <f>IF($A21="","",IFERROR(D21/B21,0))</f>
        <v/>
      </c>
      <c r="K21" s="13">
        <f>IF($A21="","",IFERROR(I21/B21,0))</f>
        <v/>
      </c>
      <c r="L21" s="11">
        <f>IF($A21="","",IFERROR(C21/E21,0))</f>
        <v/>
      </c>
      <c r="M21" s="12">
        <f>IF($A21="","",F21+G21)</f>
        <v/>
      </c>
      <c r="N21" s="11">
        <f>IF($A21="","",IFERROR(I21/H21-1,0))</f>
        <v/>
      </c>
    </row>
    <row r="22" ht="22" customHeight="1">
      <c r="A22" s="9" t="n">
        <v>46167</v>
      </c>
      <c r="B22" s="10" t="n">
        <v>202</v>
      </c>
      <c r="C22" s="10" t="n">
        <v>184</v>
      </c>
      <c r="D22" s="10" t="n">
        <v>15865525.79763861</v>
      </c>
      <c r="E22" s="10" t="n">
        <v>180</v>
      </c>
      <c r="F22" s="10" t="n">
        <v>193</v>
      </c>
      <c r="G22" s="10" t="n">
        <v>51</v>
      </c>
      <c r="H22" s="10" t="n">
        <v>13248000</v>
      </c>
      <c r="I22" s="10" t="n">
        <v>15865525.79763861</v>
      </c>
      <c r="J22" s="13">
        <f>IF($A22="","",IFERROR(D22/B22,0))</f>
        <v/>
      </c>
      <c r="K22" s="13">
        <f>IF($A22="","",IFERROR(I22/B22,0))</f>
        <v/>
      </c>
      <c r="L22" s="11">
        <f>IF($A22="","",IFERROR(C22/E22,0))</f>
        <v/>
      </c>
      <c r="M22" s="12">
        <f>IF($A22="","",F22+G22)</f>
        <v/>
      </c>
      <c r="N22" s="11">
        <f>IF($A22="","",IFERROR(I22/H22-1,0))</f>
        <v/>
      </c>
    </row>
    <row r="23" ht="22" customHeight="1">
      <c r="A23" s="9" t="n">
        <v>46174</v>
      </c>
      <c r="B23" s="10" t="n">
        <v>203</v>
      </c>
      <c r="C23" s="10" t="n">
        <v>189</v>
      </c>
      <c r="D23" s="10" t="n">
        <v>17577947.1298761</v>
      </c>
      <c r="E23" s="10" t="n">
        <v>180</v>
      </c>
      <c r="F23" s="10" t="n">
        <v>198</v>
      </c>
      <c r="G23" s="10" t="n">
        <v>52</v>
      </c>
      <c r="H23" s="10" t="n">
        <v>13608000</v>
      </c>
      <c r="I23" s="10" t="n">
        <v>17577947.1298761</v>
      </c>
      <c r="J23" s="13">
        <f>IF($A23="","",IFERROR(D23/B23,0))</f>
        <v/>
      </c>
      <c r="K23" s="13">
        <f>IF($A23="","",IFERROR(I23/B23,0))</f>
        <v/>
      </c>
      <c r="L23" s="11">
        <f>IF($A23="","",IFERROR(C23/E23,0))</f>
        <v/>
      </c>
      <c r="M23" s="12">
        <f>IF($A23="","",F23+G23)</f>
        <v/>
      </c>
      <c r="N23" s="11">
        <f>IF($A23="","",IFERROR(I23/H23-1,0))</f>
        <v/>
      </c>
    </row>
    <row r="24" ht="22" customHeight="1">
      <c r="A24" s="9" t="n">
        <v>46181</v>
      </c>
      <c r="B24" s="10" t="n">
        <v>204</v>
      </c>
      <c r="C24" s="10" t="n">
        <v>189</v>
      </c>
      <c r="D24" s="10" t="n">
        <v>16774810.77797831</v>
      </c>
      <c r="E24" s="10" t="n">
        <v>180</v>
      </c>
      <c r="F24" s="10" t="n">
        <v>198</v>
      </c>
      <c r="G24" s="10" t="n">
        <v>52</v>
      </c>
      <c r="H24" s="10" t="n">
        <v>13608000</v>
      </c>
      <c r="I24" s="10" t="n">
        <v>16774810.77797831</v>
      </c>
      <c r="J24" s="13">
        <f>IF($A24="","",IFERROR(D24/B24,0))</f>
        <v/>
      </c>
      <c r="K24" s="13">
        <f>IF($A24="","",IFERROR(I24/B24,0))</f>
        <v/>
      </c>
      <c r="L24" s="11">
        <f>IF($A24="","",IFERROR(C24/E24,0))</f>
        <v/>
      </c>
      <c r="M24" s="12">
        <f>IF($A24="","",F24+G24)</f>
        <v/>
      </c>
      <c r="N24" s="11">
        <f>IF($A24="","",IFERROR(I24/H24-1,0))</f>
        <v/>
      </c>
    </row>
    <row r="25" ht="22" customHeight="1">
      <c r="A25" s="9" t="n">
        <v>46188</v>
      </c>
      <c r="B25" s="10" t="n">
        <v>205</v>
      </c>
      <c r="C25" s="10" t="n">
        <v>183</v>
      </c>
      <c r="D25" s="10" t="n">
        <v>17137309.98840524</v>
      </c>
      <c r="E25" s="10" t="n">
        <v>180</v>
      </c>
      <c r="F25" s="10" t="n">
        <v>192</v>
      </c>
      <c r="G25" s="10" t="n">
        <v>51</v>
      </c>
      <c r="H25" s="10" t="n">
        <v>13176000</v>
      </c>
      <c r="I25" s="10" t="n">
        <v>17137309.98840524</v>
      </c>
      <c r="J25" s="13">
        <f>IF($A25="","",IFERROR(D25/B25,0))</f>
        <v/>
      </c>
      <c r="K25" s="13">
        <f>IF($A25="","",IFERROR(I25/B25,0))</f>
        <v/>
      </c>
      <c r="L25" s="11">
        <f>IF($A25="","",IFERROR(C25/E25,0))</f>
        <v/>
      </c>
      <c r="M25" s="12">
        <f>IF($A25="","",F25+G25)</f>
        <v/>
      </c>
      <c r="N25" s="11">
        <f>IF($A25="","",IFERROR(I25/H25-1,0))</f>
        <v/>
      </c>
    </row>
    <row r="26" ht="22" customHeight="1">
      <c r="A26" s="9" t="n">
        <v>46195</v>
      </c>
      <c r="B26" s="10" t="n">
        <v>206</v>
      </c>
      <c r="C26" s="10" t="n">
        <v>183</v>
      </c>
      <c r="D26" s="10" t="n">
        <v>16798895.95329187</v>
      </c>
      <c r="E26" s="10" t="n">
        <v>180</v>
      </c>
      <c r="F26" s="10" t="n">
        <v>192</v>
      </c>
      <c r="G26" s="10" t="n">
        <v>51</v>
      </c>
      <c r="H26" s="10" t="n">
        <v>13176000</v>
      </c>
      <c r="I26" s="10" t="n">
        <v>16798895.95329187</v>
      </c>
      <c r="J26" s="13">
        <f>IF($A26="","",IFERROR(D26/B26,0))</f>
        <v/>
      </c>
      <c r="K26" s="13">
        <f>IF($A26="","",IFERROR(I26/B26,0))</f>
        <v/>
      </c>
      <c r="L26" s="11">
        <f>IF($A26="","",IFERROR(C26/E26,0))</f>
        <v/>
      </c>
      <c r="M26" s="12">
        <f>IF($A26="","",F26+G26)</f>
        <v/>
      </c>
      <c r="N26" s="11">
        <f>IF($A26="","",IFERROR(I26/H26-1,0))</f>
        <v/>
      </c>
    </row>
    <row r="27" ht="22" customHeight="1">
      <c r="A27" s="9" t="n">
        <v>46202</v>
      </c>
      <c r="B27" s="10" t="n">
        <v>208</v>
      </c>
      <c r="C27" s="10" t="n">
        <v>194</v>
      </c>
      <c r="D27" s="10" t="n">
        <v>19699949.22289245</v>
      </c>
      <c r="E27" s="10" t="n">
        <v>180</v>
      </c>
      <c r="F27" s="10" t="n">
        <v>203</v>
      </c>
      <c r="G27" s="10" t="n">
        <v>54</v>
      </c>
      <c r="H27" s="10" t="n">
        <v>13968000</v>
      </c>
      <c r="I27" s="10" t="n">
        <v>19699949.22289245</v>
      </c>
      <c r="J27" s="13">
        <f>IF($A27="","",IFERROR(D27/B27,0))</f>
        <v/>
      </c>
      <c r="K27" s="13">
        <f>IF($A27="","",IFERROR(I27/B27,0))</f>
        <v/>
      </c>
      <c r="L27" s="11">
        <f>IF($A27="","",IFERROR(C27/E27,0))</f>
        <v/>
      </c>
      <c r="M27" s="12">
        <f>IF($A27="","",F27+G27)</f>
        <v/>
      </c>
      <c r="N27" s="11">
        <f>IF($A27="","",IFERROR(I27/H27-1,0))</f>
        <v/>
      </c>
    </row>
    <row r="28" ht="22" customHeight="1">
      <c r="A28" s="9" t="n">
        <v>46209</v>
      </c>
      <c r="B28" s="10" t="n">
        <v>209</v>
      </c>
      <c r="C28" s="10" t="n">
        <v>179</v>
      </c>
      <c r="D28" s="10" t="n">
        <v>16986060.67743241</v>
      </c>
      <c r="E28" s="10" t="n">
        <v>180</v>
      </c>
      <c r="F28" s="10" t="n">
        <v>187</v>
      </c>
      <c r="G28" s="10" t="n">
        <v>50</v>
      </c>
      <c r="H28" s="10" t="n">
        <v>12888000</v>
      </c>
      <c r="I28" s="10" t="n">
        <v>16986060.67743241</v>
      </c>
      <c r="J28" s="13">
        <f>IF($A28="","",IFERROR(D28/B28,0))</f>
        <v/>
      </c>
      <c r="K28" s="13">
        <f>IF($A28="","",IFERROR(I28/B28,0))</f>
        <v/>
      </c>
      <c r="L28" s="11">
        <f>IF($A28="","",IFERROR(C28/E28,0))</f>
        <v/>
      </c>
      <c r="M28" s="12">
        <f>IF($A28="","",F28+G28)</f>
        <v/>
      </c>
      <c r="N28" s="11">
        <f>IF($A28="","",IFERROR(I28/H28-1,0))</f>
        <v/>
      </c>
    </row>
    <row r="29" ht="22" customHeight="1">
      <c r="A29" s="9" t="n">
        <v>46216</v>
      </c>
      <c r="B29" s="10" t="n">
        <v>210</v>
      </c>
      <c r="C29" s="10" t="n">
        <v>187</v>
      </c>
      <c r="D29" s="10" t="n">
        <v>18046761.79086502</v>
      </c>
      <c r="E29" s="10" t="n">
        <v>180</v>
      </c>
      <c r="F29" s="10" t="n">
        <v>196</v>
      </c>
      <c r="G29" s="10" t="n">
        <v>52</v>
      </c>
      <c r="H29" s="10" t="n">
        <v>13464000</v>
      </c>
      <c r="I29" s="10" t="n">
        <v>18046761.79086502</v>
      </c>
      <c r="J29" s="13">
        <f>IF($A29="","",IFERROR(D29/B29,0))</f>
        <v/>
      </c>
      <c r="K29" s="13">
        <f>IF($A29="","",IFERROR(I29/B29,0))</f>
        <v/>
      </c>
      <c r="L29" s="11">
        <f>IF($A29="","",IFERROR(C29/E29,0))</f>
        <v/>
      </c>
      <c r="M29" s="12">
        <f>IF($A29="","",F29+G29)</f>
        <v/>
      </c>
      <c r="N29" s="11">
        <f>IF($A29="","",IFERROR(I29/H29-1,0))</f>
        <v/>
      </c>
    </row>
    <row r="30" ht="22" customHeight="1">
      <c r="A30" s="9" t="n">
        <v>46223</v>
      </c>
      <c r="B30" s="10" t="n">
        <v>211</v>
      </c>
      <c r="C30" s="10" t="n">
        <v>196</v>
      </c>
      <c r="D30" s="10" t="n">
        <v>18173519.87918685</v>
      </c>
      <c r="E30" s="10" t="n">
        <v>180</v>
      </c>
      <c r="F30" s="10" t="n">
        <v>205</v>
      </c>
      <c r="G30" s="10" t="n">
        <v>54</v>
      </c>
      <c r="H30" s="10" t="n">
        <v>14112000</v>
      </c>
      <c r="I30" s="10" t="n">
        <v>18173519.87918685</v>
      </c>
      <c r="J30" s="13">
        <f>IF($A30="","",IFERROR(D30/B30,0))</f>
        <v/>
      </c>
      <c r="K30" s="13">
        <f>IF($A30="","",IFERROR(I30/B30,0))</f>
        <v/>
      </c>
      <c r="L30" s="11">
        <f>IF($A30="","",IFERROR(C30/E30,0))</f>
        <v/>
      </c>
      <c r="M30" s="12">
        <f>IF($A30="","",F30+G30)</f>
        <v/>
      </c>
      <c r="N30" s="11">
        <f>IF($A30="","",IFERROR(I30/H30-1,0))</f>
        <v/>
      </c>
    </row>
    <row r="31" ht="22" customHeight="1">
      <c r="A31" s="9" t="n">
        <v>46230</v>
      </c>
      <c r="B31" s="10" t="n">
        <v>212</v>
      </c>
      <c r="C31" s="10" t="n">
        <v>193</v>
      </c>
      <c r="D31" s="10" t="n">
        <v>16921731.86856909</v>
      </c>
      <c r="E31" s="10" t="n">
        <v>180</v>
      </c>
      <c r="F31" s="10" t="n">
        <v>202</v>
      </c>
      <c r="G31" s="10" t="n">
        <v>54</v>
      </c>
      <c r="H31" s="10" t="n">
        <v>13896000</v>
      </c>
      <c r="I31" s="10" t="n">
        <v>16921731.86856909</v>
      </c>
      <c r="J31" s="13">
        <f>IF($A31="","",IFERROR(D31/B31,0))</f>
        <v/>
      </c>
      <c r="K31" s="13">
        <f>IF($A31="","",IFERROR(I31/B31,0))</f>
        <v/>
      </c>
      <c r="L31" s="11">
        <f>IF($A31="","",IFERROR(C31/E31,0))</f>
        <v/>
      </c>
      <c r="M31" s="12">
        <f>IF($A31="","",F31+G31)</f>
        <v/>
      </c>
      <c r="N31" s="11">
        <f>IF($A31="","",IFERROR(I31/H31-1,0))</f>
        <v/>
      </c>
    </row>
    <row r="32" ht="22" customHeight="1">
      <c r="A32" s="9" t="n">
        <v>46237</v>
      </c>
      <c r="B32" s="10" t="n">
        <v>213</v>
      </c>
      <c r="C32" s="10" t="n">
        <v>203</v>
      </c>
      <c r="D32" s="10" t="n">
        <v>16709783.31298219</v>
      </c>
      <c r="E32" s="10" t="n">
        <v>180</v>
      </c>
      <c r="F32" s="10" t="n">
        <v>213</v>
      </c>
      <c r="G32" s="10" t="n">
        <v>56</v>
      </c>
      <c r="H32" s="10" t="n">
        <v>14616000</v>
      </c>
      <c r="I32" s="10" t="n">
        <v>16709783.31298219</v>
      </c>
      <c r="J32" s="13">
        <f>IF($A32="","",IFERROR(D32/B32,0))</f>
        <v/>
      </c>
      <c r="K32" s="13">
        <f>IF($A32="","",IFERROR(I32/B32,0))</f>
        <v/>
      </c>
      <c r="L32" s="11">
        <f>IF($A32="","",IFERROR(C32/E32,0))</f>
        <v/>
      </c>
      <c r="M32" s="12">
        <f>IF($A32="","",F32+G32)</f>
        <v/>
      </c>
      <c r="N32" s="11">
        <f>IF($A32="","",IFERROR(I32/H32-1,0))</f>
        <v/>
      </c>
    </row>
    <row r="33" ht="22" customHeight="1">
      <c r="A33" s="9" t="n">
        <v>46244</v>
      </c>
      <c r="B33" s="10" t="n">
        <v>214</v>
      </c>
      <c r="C33" s="10" t="n">
        <v>192</v>
      </c>
      <c r="D33" s="10" t="n">
        <v>18683887.23331881</v>
      </c>
      <c r="E33" s="10" t="n">
        <v>180</v>
      </c>
      <c r="F33" s="10" t="n">
        <v>201</v>
      </c>
      <c r="G33" s="10" t="n">
        <v>53</v>
      </c>
      <c r="H33" s="10" t="n">
        <v>13824000</v>
      </c>
      <c r="I33" s="10" t="n">
        <v>18683887.23331881</v>
      </c>
      <c r="J33" s="13">
        <f>IF($A33="","",IFERROR(D33/B33,0))</f>
        <v/>
      </c>
      <c r="K33" s="13">
        <f>IF($A33="","",IFERROR(I33/B33,0))</f>
        <v/>
      </c>
      <c r="L33" s="11">
        <f>IF($A33="","",IFERROR(C33/E33,0))</f>
        <v/>
      </c>
      <c r="M33" s="12">
        <f>IF($A33="","",F33+G33)</f>
        <v/>
      </c>
      <c r="N33" s="11">
        <f>IF($A33="","",IFERROR(I33/H33-1,0))</f>
        <v/>
      </c>
    </row>
    <row r="34" ht="22" customHeight="1">
      <c r="A34" s="9" t="n">
        <v>46251</v>
      </c>
      <c r="B34" s="10" t="n">
        <v>215</v>
      </c>
      <c r="C34" s="10" t="n">
        <v>205</v>
      </c>
      <c r="D34" s="10" t="n">
        <v>19053693.69220795</v>
      </c>
      <c r="E34" s="10" t="n">
        <v>180</v>
      </c>
      <c r="F34" s="10" t="n">
        <v>215</v>
      </c>
      <c r="G34" s="10" t="n">
        <v>57</v>
      </c>
      <c r="H34" s="10" t="n">
        <v>14760000</v>
      </c>
      <c r="I34" s="10" t="n">
        <v>19053693.69220795</v>
      </c>
      <c r="J34" s="13">
        <f>IF($A34="","",IFERROR(D34/B34,0))</f>
        <v/>
      </c>
      <c r="K34" s="13">
        <f>IF($A34="","",IFERROR(I34/B34,0))</f>
        <v/>
      </c>
      <c r="L34" s="11">
        <f>IF($A34="","",IFERROR(C34/E34,0))</f>
        <v/>
      </c>
      <c r="M34" s="12">
        <f>IF($A34="","",F34+G34)</f>
        <v/>
      </c>
      <c r="N34" s="11">
        <f>IF($A34="","",IFERROR(I34/H34-1,0))</f>
        <v/>
      </c>
    </row>
    <row r="35" ht="22" customHeight="1">
      <c r="A35" s="9" t="n">
        <v>46258</v>
      </c>
      <c r="B35" s="10" t="n">
        <v>216</v>
      </c>
      <c r="C35" s="10" t="n">
        <v>204</v>
      </c>
      <c r="D35" s="10" t="n">
        <v>18562969.93015122</v>
      </c>
      <c r="E35" s="10" t="n">
        <v>180</v>
      </c>
      <c r="F35" s="10" t="n">
        <v>214</v>
      </c>
      <c r="G35" s="10" t="n">
        <v>57</v>
      </c>
      <c r="H35" s="10" t="n">
        <v>14688000</v>
      </c>
      <c r="I35" s="10" t="n">
        <v>18562969.93015122</v>
      </c>
      <c r="J35" s="13">
        <f>IF($A35="","",IFERROR(D35/B35,0))</f>
        <v/>
      </c>
      <c r="K35" s="13">
        <f>IF($A35="","",IFERROR(I35/B35,0))</f>
        <v/>
      </c>
      <c r="L35" s="11">
        <f>IF($A35="","",IFERROR(C35/E35,0))</f>
        <v/>
      </c>
      <c r="M35" s="12">
        <f>IF($A35="","",F35+G35)</f>
        <v/>
      </c>
      <c r="N35" s="11">
        <f>IF($A35="","",IFERROR(I35/H35-1,0))</f>
        <v/>
      </c>
    </row>
    <row r="36" ht="22" customHeight="1">
      <c r="A36" s="9" t="n">
        <v>46265</v>
      </c>
      <c r="B36" s="10" t="n">
        <v>217</v>
      </c>
      <c r="C36" s="10" t="n">
        <v>207</v>
      </c>
      <c r="D36" s="10" t="n">
        <v>18495325.91600215</v>
      </c>
      <c r="E36" s="10" t="n">
        <v>180</v>
      </c>
      <c r="F36" s="10" t="n">
        <v>217</v>
      </c>
      <c r="G36" s="10" t="n">
        <v>57</v>
      </c>
      <c r="H36" s="10" t="n">
        <v>14904000</v>
      </c>
      <c r="I36" s="10" t="n">
        <v>18495325.91600215</v>
      </c>
      <c r="J36" s="13">
        <f>IF($A36="","",IFERROR(D36/B36,0))</f>
        <v/>
      </c>
      <c r="K36" s="13">
        <f>IF($A36="","",IFERROR(I36/B36,0))</f>
        <v/>
      </c>
      <c r="L36" s="11">
        <f>IF($A36="","",IFERROR(C36/E36,0))</f>
        <v/>
      </c>
      <c r="M36" s="12">
        <f>IF($A36="","",F36+G36)</f>
        <v/>
      </c>
      <c r="N36" s="11">
        <f>IF($A36="","",IFERROR(I36/H36-1,0))</f>
        <v/>
      </c>
    </row>
    <row r="37" ht="22" customHeight="1">
      <c r="A37" s="9" t="n">
        <v>46272</v>
      </c>
      <c r="B37" s="10" t="n">
        <v>218</v>
      </c>
      <c r="C37" s="10" t="n">
        <v>202</v>
      </c>
      <c r="D37" s="10" t="n">
        <v>19688167.93110745</v>
      </c>
      <c r="E37" s="10" t="n">
        <v>180</v>
      </c>
      <c r="F37" s="10" t="n">
        <v>212</v>
      </c>
      <c r="G37" s="10" t="n">
        <v>56</v>
      </c>
      <c r="H37" s="10" t="n">
        <v>14544000</v>
      </c>
      <c r="I37" s="10" t="n">
        <v>19688167.93110745</v>
      </c>
      <c r="J37" s="13">
        <f>IF($A37="","",IFERROR(D37/B37,0))</f>
        <v/>
      </c>
      <c r="K37" s="13">
        <f>IF($A37="","",IFERROR(I37/B37,0))</f>
        <v/>
      </c>
      <c r="L37" s="11">
        <f>IF($A37="","",IFERROR(C37/E37,0))</f>
        <v/>
      </c>
      <c r="M37" s="12">
        <f>IF($A37="","",F37+G37)</f>
        <v/>
      </c>
      <c r="N37" s="11">
        <f>IF($A37="","",IFERROR(I37/H37-1,0))</f>
        <v/>
      </c>
    </row>
    <row r="38" ht="22" customHeight="1">
      <c r="A38" s="9" t="n">
        <v>46279</v>
      </c>
      <c r="B38" s="10" t="n">
        <v>219</v>
      </c>
      <c r="C38" s="10" t="n">
        <v>201</v>
      </c>
      <c r="D38" s="10" t="n">
        <v>17669055.29110009</v>
      </c>
      <c r="E38" s="10" t="n">
        <v>180</v>
      </c>
      <c r="F38" s="10" t="n">
        <v>211</v>
      </c>
      <c r="G38" s="10" t="n">
        <v>56</v>
      </c>
      <c r="H38" s="10" t="n">
        <v>14472000</v>
      </c>
      <c r="I38" s="10" t="n">
        <v>17669055.29110009</v>
      </c>
      <c r="J38" s="13">
        <f>IF($A38="","",IFERROR(D38/B38,0))</f>
        <v/>
      </c>
      <c r="K38" s="13">
        <f>IF($A38="","",IFERROR(I38/B38,0))</f>
        <v/>
      </c>
      <c r="L38" s="11">
        <f>IF($A38="","",IFERROR(C38/E38,0))</f>
        <v/>
      </c>
      <c r="M38" s="12">
        <f>IF($A38="","",F38+G38)</f>
        <v/>
      </c>
      <c r="N38" s="11">
        <f>IF($A38="","",IFERROR(I38/H38-1,0))</f>
        <v/>
      </c>
    </row>
    <row r="39" ht="22" customHeight="1">
      <c r="A39" s="9" t="n">
        <v>46286</v>
      </c>
      <c r="B39" s="10" t="n">
        <v>221</v>
      </c>
      <c r="C39" s="10" t="n">
        <v>203</v>
      </c>
      <c r="D39" s="10" t="n">
        <v>17733981.44068943</v>
      </c>
      <c r="E39" s="10" t="n">
        <v>180</v>
      </c>
      <c r="F39" s="10" t="n">
        <v>213</v>
      </c>
      <c r="G39" s="10" t="n">
        <v>56</v>
      </c>
      <c r="H39" s="10" t="n">
        <v>14616000</v>
      </c>
      <c r="I39" s="10" t="n">
        <v>17733981.44068943</v>
      </c>
      <c r="J39" s="13">
        <f>IF($A39="","",IFERROR(D39/B39,0))</f>
        <v/>
      </c>
      <c r="K39" s="13">
        <f>IF($A39="","",IFERROR(I39/B39,0))</f>
        <v/>
      </c>
      <c r="L39" s="11">
        <f>IF($A39="","",IFERROR(C39/E39,0))</f>
        <v/>
      </c>
      <c r="M39" s="12">
        <f>IF($A39="","",F39+G39)</f>
        <v/>
      </c>
      <c r="N39" s="11">
        <f>IF($A39="","",IFERROR(I39/H39-1,0))</f>
        <v/>
      </c>
    </row>
    <row r="40" ht="22" customHeight="1">
      <c r="A40" s="9" t="n">
        <v>46293</v>
      </c>
      <c r="B40" s="10" t="n">
        <v>222</v>
      </c>
      <c r="C40" s="10" t="n">
        <v>207</v>
      </c>
      <c r="D40" s="10" t="n">
        <v>19940576.02461351</v>
      </c>
      <c r="E40" s="10" t="n">
        <v>180</v>
      </c>
      <c r="F40" s="10" t="n">
        <v>217</v>
      </c>
      <c r="G40" s="10" t="n">
        <v>57</v>
      </c>
      <c r="H40" s="10" t="n">
        <v>14904000</v>
      </c>
      <c r="I40" s="10" t="n">
        <v>19940576.02461351</v>
      </c>
      <c r="J40" s="13">
        <f>IF($A40="","",IFERROR(D40/B40,0))</f>
        <v/>
      </c>
      <c r="K40" s="13">
        <f>IF($A40="","",IFERROR(I40/B40,0))</f>
        <v/>
      </c>
      <c r="L40" s="11">
        <f>IF($A40="","",IFERROR(C40/E40,0))</f>
        <v/>
      </c>
      <c r="M40" s="12">
        <f>IF($A40="","",F40+G40)</f>
        <v/>
      </c>
      <c r="N40" s="11">
        <f>IF($A40="","",IFERROR(I40/H40-1,0))</f>
        <v/>
      </c>
    </row>
    <row r="41" ht="22" customHeight="1">
      <c r="A41" s="9" t="n">
        <v>46300</v>
      </c>
      <c r="B41" s="10" t="n">
        <v>223</v>
      </c>
      <c r="C41" s="10" t="n">
        <v>210</v>
      </c>
      <c r="D41" s="10" t="n">
        <v>21236630.75956663</v>
      </c>
      <c r="E41" s="10" t="n">
        <v>180</v>
      </c>
      <c r="F41" s="10" t="n">
        <v>220</v>
      </c>
      <c r="G41" s="10" t="n">
        <v>58</v>
      </c>
      <c r="H41" s="10" t="n">
        <v>15120000</v>
      </c>
      <c r="I41" s="10" t="n">
        <v>21236630.75956663</v>
      </c>
      <c r="J41" s="13">
        <f>IF($A41="","",IFERROR(D41/B41,0))</f>
        <v/>
      </c>
      <c r="K41" s="13">
        <f>IF($A41="","",IFERROR(I41/B41,0))</f>
        <v/>
      </c>
      <c r="L41" s="11">
        <f>IF($A41="","",IFERROR(C41/E41,0))</f>
        <v/>
      </c>
      <c r="M41" s="12">
        <f>IF($A41="","",F41+G41)</f>
        <v/>
      </c>
      <c r="N41" s="11">
        <f>IF($A41="","",IFERROR(I41/H41-1,0))</f>
        <v/>
      </c>
    </row>
    <row r="42" ht="22" customHeight="1">
      <c r="A42" s="9" t="n">
        <v>46307</v>
      </c>
      <c r="B42" s="10" t="n">
        <v>224</v>
      </c>
      <c r="C42" s="10" t="n">
        <v>198</v>
      </c>
      <c r="D42" s="10" t="n">
        <v>19068949.56558084</v>
      </c>
      <c r="E42" s="10" t="n">
        <v>180</v>
      </c>
      <c r="F42" s="10" t="n">
        <v>207</v>
      </c>
      <c r="G42" s="10" t="n">
        <v>55</v>
      </c>
      <c r="H42" s="10" t="n">
        <v>14256000</v>
      </c>
      <c r="I42" s="10" t="n">
        <v>19068949.56558084</v>
      </c>
      <c r="J42" s="13">
        <f>IF($A42="","",IFERROR(D42/B42,0))</f>
        <v/>
      </c>
      <c r="K42" s="13">
        <f>IF($A42="","",IFERROR(I42/B42,0))</f>
        <v/>
      </c>
      <c r="L42" s="11">
        <f>IF($A42="","",IFERROR(C42/E42,0))</f>
        <v/>
      </c>
      <c r="M42" s="12">
        <f>IF($A42="","",F42+G42)</f>
        <v/>
      </c>
      <c r="N42" s="11">
        <f>IF($A42="","",IFERROR(I42/H42-1,0))</f>
        <v/>
      </c>
    </row>
    <row r="43" ht="22" customHeight="1">
      <c r="A43" s="9" t="n">
        <v>46314</v>
      </c>
      <c r="B43" s="10" t="n">
        <v>225</v>
      </c>
      <c r="C43" s="10" t="n">
        <v>204</v>
      </c>
      <c r="D43" s="10" t="n">
        <v>19848452.12869995</v>
      </c>
      <c r="E43" s="10" t="n">
        <v>180</v>
      </c>
      <c r="F43" s="10" t="n">
        <v>214</v>
      </c>
      <c r="G43" s="10" t="n">
        <v>57</v>
      </c>
      <c r="H43" s="10" t="n">
        <v>14688000</v>
      </c>
      <c r="I43" s="10" t="n">
        <v>19848452.12869995</v>
      </c>
      <c r="J43" s="13">
        <f>IF($A43="","",IFERROR(D43/B43,0))</f>
        <v/>
      </c>
      <c r="K43" s="13">
        <f>IF($A43="","",IFERROR(I43/B43,0))</f>
        <v/>
      </c>
      <c r="L43" s="11">
        <f>IF($A43="","",IFERROR(C43/E43,0))</f>
        <v/>
      </c>
      <c r="M43" s="12">
        <f>IF($A43="","",F43+G43)</f>
        <v/>
      </c>
      <c r="N43" s="11">
        <f>IF($A43="","",IFERROR(I43/H43-1,0))</f>
        <v/>
      </c>
    </row>
    <row r="44" ht="22" customHeight="1">
      <c r="A44" s="9" t="n">
        <v>46321</v>
      </c>
      <c r="B44" s="10" t="n">
        <v>226</v>
      </c>
      <c r="C44" s="10" t="n">
        <v>198</v>
      </c>
      <c r="D44" s="10" t="n">
        <v>18649127.30063101</v>
      </c>
      <c r="E44" s="10" t="n">
        <v>180</v>
      </c>
      <c r="F44" s="10" t="n">
        <v>207</v>
      </c>
      <c r="G44" s="10" t="n">
        <v>55</v>
      </c>
      <c r="H44" s="10" t="n">
        <v>14256000</v>
      </c>
      <c r="I44" s="10" t="n">
        <v>18649127.30063101</v>
      </c>
      <c r="J44" s="13">
        <f>IF($A44="","",IFERROR(D44/B44,0))</f>
        <v/>
      </c>
      <c r="K44" s="13">
        <f>IF($A44="","",IFERROR(I44/B44,0))</f>
        <v/>
      </c>
      <c r="L44" s="11">
        <f>IF($A44="","",IFERROR(C44/E44,0))</f>
        <v/>
      </c>
      <c r="M44" s="12">
        <f>IF($A44="","",F44+G44)</f>
        <v/>
      </c>
      <c r="N44" s="11">
        <f>IF($A44="","",IFERROR(I44/H44-1,0))</f>
        <v/>
      </c>
    </row>
    <row r="45" ht="22" customHeight="1">
      <c r="A45" s="9" t="n">
        <v>46328</v>
      </c>
      <c r="B45" s="10" t="n">
        <v>227</v>
      </c>
      <c r="C45" s="10" t="n">
        <v>205</v>
      </c>
      <c r="D45" s="10" t="n">
        <v>19052462.88898819</v>
      </c>
      <c r="E45" s="10" t="n">
        <v>180</v>
      </c>
      <c r="F45" s="10" t="n">
        <v>215</v>
      </c>
      <c r="G45" s="10" t="n">
        <v>57</v>
      </c>
      <c r="H45" s="10" t="n">
        <v>14760000</v>
      </c>
      <c r="I45" s="10" t="n">
        <v>19052462.88898819</v>
      </c>
      <c r="J45" s="13">
        <f>IF($A45="","",IFERROR(D45/B45,0))</f>
        <v/>
      </c>
      <c r="K45" s="13">
        <f>IF($A45="","",IFERROR(I45/B45,0))</f>
        <v/>
      </c>
      <c r="L45" s="11">
        <f>IF($A45="","",IFERROR(C45/E45,0))</f>
        <v/>
      </c>
      <c r="M45" s="12">
        <f>IF($A45="","",F45+G45)</f>
        <v/>
      </c>
      <c r="N45" s="11">
        <f>IF($A45="","",IFERROR(I45/H45-1,0))</f>
        <v/>
      </c>
    </row>
    <row r="46" ht="22" customHeight="1">
      <c r="A46" s="9" t="n">
        <v>46335</v>
      </c>
      <c r="B46" s="10" t="n">
        <v>228</v>
      </c>
      <c r="C46" s="10" t="n">
        <v>218</v>
      </c>
      <c r="D46" s="10" t="n">
        <v>20749084.66186932</v>
      </c>
      <c r="E46" s="10" t="n">
        <v>180</v>
      </c>
      <c r="F46" s="10" t="n">
        <v>228</v>
      </c>
      <c r="G46" s="10" t="n">
        <v>61</v>
      </c>
      <c r="H46" s="10" t="n">
        <v>15696000</v>
      </c>
      <c r="I46" s="10" t="n">
        <v>20749084.66186932</v>
      </c>
      <c r="J46" s="13">
        <f>IF($A46="","",IFERROR(D46/B46,0))</f>
        <v/>
      </c>
      <c r="K46" s="13">
        <f>IF($A46="","",IFERROR(I46/B46,0))</f>
        <v/>
      </c>
      <c r="L46" s="11">
        <f>IF($A46="","",IFERROR(C46/E46,0))</f>
        <v/>
      </c>
      <c r="M46" s="12">
        <f>IF($A46="","",F46+G46)</f>
        <v/>
      </c>
      <c r="N46" s="11">
        <f>IF($A46="","",IFERROR(I46/H46-1,0))</f>
        <v/>
      </c>
    </row>
    <row r="47" ht="22" customHeight="1">
      <c r="A47" s="9" t="n">
        <v>46342</v>
      </c>
      <c r="B47" s="10" t="n">
        <v>229</v>
      </c>
      <c r="C47" s="10" t="n">
        <v>208</v>
      </c>
      <c r="D47" s="10" t="n">
        <v>20895303.93255382</v>
      </c>
      <c r="E47" s="10" t="n">
        <v>180</v>
      </c>
      <c r="F47" s="10" t="n">
        <v>218</v>
      </c>
      <c r="G47" s="10" t="n">
        <v>58</v>
      </c>
      <c r="H47" s="10" t="n">
        <v>14976000</v>
      </c>
      <c r="I47" s="10" t="n">
        <v>20895303.93255382</v>
      </c>
      <c r="J47" s="13">
        <f>IF($A47="","",IFERROR(D47/B47,0))</f>
        <v/>
      </c>
      <c r="K47" s="13">
        <f>IF($A47="","",IFERROR(I47/B47,0))</f>
        <v/>
      </c>
      <c r="L47" s="11">
        <f>IF($A47="","",IFERROR(C47/E47,0))</f>
        <v/>
      </c>
      <c r="M47" s="12">
        <f>IF($A47="","",F47+G47)</f>
        <v/>
      </c>
      <c r="N47" s="11">
        <f>IF($A47="","",IFERROR(I47/H47-1,0))</f>
        <v/>
      </c>
    </row>
    <row r="48" ht="22" customHeight="1">
      <c r="A48" s="9" t="n">
        <v>46349</v>
      </c>
      <c r="B48" s="10" t="n">
        <v>230</v>
      </c>
      <c r="C48" s="10" t="n">
        <v>216</v>
      </c>
      <c r="D48" s="10" t="n">
        <v>20039116.4604052</v>
      </c>
      <c r="E48" s="10" t="n">
        <v>180</v>
      </c>
      <c r="F48" s="10" t="n">
        <v>226</v>
      </c>
      <c r="G48" s="10" t="n">
        <v>60</v>
      </c>
      <c r="H48" s="10" t="n">
        <v>15552000</v>
      </c>
      <c r="I48" s="10" t="n">
        <v>20039116.4604052</v>
      </c>
      <c r="J48" s="13">
        <f>IF($A48="","",IFERROR(D48/B48,0))</f>
        <v/>
      </c>
      <c r="K48" s="13">
        <f>IF($A48="","",IFERROR(I48/B48,0))</f>
        <v/>
      </c>
      <c r="L48" s="11">
        <f>IF($A48="","",IFERROR(C48/E48,0))</f>
        <v/>
      </c>
      <c r="M48" s="12">
        <f>IF($A48="","",F48+G48)</f>
        <v/>
      </c>
      <c r="N48" s="11">
        <f>IF($A48="","",IFERROR(I48/H48-1,0))</f>
        <v/>
      </c>
    </row>
    <row r="49" ht="22" customHeight="1">
      <c r="A49" s="9" t="n">
        <v>46356</v>
      </c>
      <c r="B49" s="10" t="n">
        <v>231</v>
      </c>
      <c r="C49" s="10" t="n">
        <v>220</v>
      </c>
      <c r="D49" s="10" t="n">
        <v>20240422.67566463</v>
      </c>
      <c r="E49" s="10" t="n">
        <v>180</v>
      </c>
      <c r="F49" s="10" t="n">
        <v>231</v>
      </c>
      <c r="G49" s="10" t="n">
        <v>61</v>
      </c>
      <c r="H49" s="10" t="n">
        <v>15840000</v>
      </c>
      <c r="I49" s="10" t="n">
        <v>20240422.67566463</v>
      </c>
      <c r="J49" s="13">
        <f>IF($A49="","",IFERROR(D49/B49,0))</f>
        <v/>
      </c>
      <c r="K49" s="13">
        <f>IF($A49="","",IFERROR(I49/B49,0))</f>
        <v/>
      </c>
      <c r="L49" s="11">
        <f>IF($A49="","",IFERROR(C49/E49,0))</f>
        <v/>
      </c>
      <c r="M49" s="12">
        <f>IF($A49="","",F49+G49)</f>
        <v/>
      </c>
      <c r="N49" s="11">
        <f>IF($A49="","",IFERROR(I49/H49-1,0))</f>
        <v/>
      </c>
    </row>
    <row r="50" ht="22" customHeight="1">
      <c r="A50" s="9" t="n">
        <v>46363</v>
      </c>
      <c r="B50" s="10" t="n">
        <v>232</v>
      </c>
      <c r="C50" s="10" t="n">
        <v>221</v>
      </c>
      <c r="D50" s="10" t="n">
        <v>18581176.52912153</v>
      </c>
      <c r="E50" s="10" t="n">
        <v>180</v>
      </c>
      <c r="F50" s="10" t="n">
        <v>232</v>
      </c>
      <c r="G50" s="10" t="n">
        <v>61</v>
      </c>
      <c r="H50" s="10" t="n">
        <v>15912000</v>
      </c>
      <c r="I50" s="10" t="n">
        <v>18581176.52912153</v>
      </c>
      <c r="J50" s="13">
        <f>IF($A50="","",IFERROR(D50/B50,0))</f>
        <v/>
      </c>
      <c r="K50" s="13">
        <f>IF($A50="","",IFERROR(I50/B50,0))</f>
        <v/>
      </c>
      <c r="L50" s="11">
        <f>IF($A50="","",IFERROR(C50/E50,0))</f>
        <v/>
      </c>
      <c r="M50" s="12">
        <f>IF($A50="","",F50+G50)</f>
        <v/>
      </c>
      <c r="N50" s="11">
        <f>IF($A50="","",IFERROR(I50/H50-1,0))</f>
        <v/>
      </c>
    </row>
    <row r="51" ht="22" customHeight="1">
      <c r="A51" s="9" t="n">
        <v>46370</v>
      </c>
      <c r="B51" s="10" t="n">
        <v>234</v>
      </c>
      <c r="C51" s="10" t="n">
        <v>220</v>
      </c>
      <c r="D51" s="10" t="n">
        <v>22922794.38329578</v>
      </c>
      <c r="E51" s="10" t="n">
        <v>180</v>
      </c>
      <c r="F51" s="10" t="n">
        <v>231</v>
      </c>
      <c r="G51" s="10" t="n">
        <v>61</v>
      </c>
      <c r="H51" s="10" t="n">
        <v>15840000</v>
      </c>
      <c r="I51" s="10" t="n">
        <v>22922794.38329578</v>
      </c>
      <c r="J51" s="13">
        <f>IF($A51="","",IFERROR(D51/B51,0))</f>
        <v/>
      </c>
      <c r="K51" s="13">
        <f>IF($A51="","",IFERROR(I51/B51,0))</f>
        <v/>
      </c>
      <c r="L51" s="11">
        <f>IF($A51="","",IFERROR(C51/E51,0))</f>
        <v/>
      </c>
      <c r="M51" s="12">
        <f>IF($A51="","",F51+G51)</f>
        <v/>
      </c>
      <c r="N51" s="11">
        <f>IF($A51="","",IFERROR(I51/H51-1,0))</f>
        <v/>
      </c>
    </row>
    <row r="52" ht="22" customHeight="1">
      <c r="A52" s="9" t="n">
        <v>46377</v>
      </c>
      <c r="B52" s="10" t="n">
        <v>235</v>
      </c>
      <c r="C52" s="10" t="n">
        <v>212</v>
      </c>
      <c r="D52" s="10" t="n">
        <v>21388631.14095031</v>
      </c>
      <c r="E52" s="10" t="n">
        <v>180</v>
      </c>
      <c r="F52" s="10" t="n">
        <v>222</v>
      </c>
      <c r="G52" s="10" t="n">
        <v>59</v>
      </c>
      <c r="H52" s="10" t="n">
        <v>15264000</v>
      </c>
      <c r="I52" s="10" t="n">
        <v>21388631.14095031</v>
      </c>
      <c r="J52" s="13">
        <f>IF($A52="","",IFERROR(D52/B52,0))</f>
        <v/>
      </c>
      <c r="K52" s="13">
        <f>IF($A52="","",IFERROR(I52/B52,0))</f>
        <v/>
      </c>
      <c r="L52" s="11">
        <f>IF($A52="","",IFERROR(C52/E52,0))</f>
        <v/>
      </c>
      <c r="M52" s="12">
        <f>IF($A52="","",F52+G52)</f>
        <v/>
      </c>
      <c r="N52" s="11">
        <f>IF($A52="","",IFERROR(I52/H52-1,0))</f>
        <v/>
      </c>
    </row>
    <row r="53" ht="22" customHeight="1">
      <c r="A53" s="9" t="n">
        <v>46384</v>
      </c>
      <c r="B53" s="10" t="n">
        <v>236</v>
      </c>
      <c r="C53" s="10" t="n">
        <v>220</v>
      </c>
      <c r="D53" s="10" t="n">
        <v>20072562.87878826</v>
      </c>
      <c r="E53" s="10" t="n">
        <v>180</v>
      </c>
      <c r="F53" s="10" t="n">
        <v>231</v>
      </c>
      <c r="G53" s="10" t="n">
        <v>61</v>
      </c>
      <c r="H53" s="10" t="n">
        <v>15840000</v>
      </c>
      <c r="I53" s="10" t="n">
        <v>20072562.87878826</v>
      </c>
      <c r="J53" s="13">
        <f>IF($A53="","",IFERROR(D53/B53,0))</f>
        <v/>
      </c>
      <c r="K53" s="13">
        <f>IF($A53="","",IFERROR(I53/B53,0))</f>
        <v/>
      </c>
      <c r="L53" s="11">
        <f>IF($A53="","",IFERROR(C53/E53,0))</f>
        <v/>
      </c>
      <c r="M53" s="12">
        <f>IF($A53="","",F53+G53)</f>
        <v/>
      </c>
      <c r="N53" s="11">
        <f>IF($A53="","",IFERROR(I53/H53-1,0))</f>
        <v/>
      </c>
    </row>
    <row r="54" ht="22" customHeight="1">
      <c r="A54" s="9" t="n">
        <v>46391</v>
      </c>
      <c r="B54" s="10" t="n">
        <v>237</v>
      </c>
      <c r="C54" s="10" t="n">
        <v>219</v>
      </c>
      <c r="D54" s="10" t="n">
        <v>21339978.4515817</v>
      </c>
      <c r="E54" s="10" t="n">
        <v>180</v>
      </c>
      <c r="F54" s="10" t="n">
        <v>229</v>
      </c>
      <c r="G54" s="10" t="n">
        <v>61</v>
      </c>
      <c r="H54" s="10" t="n">
        <v>15768000</v>
      </c>
      <c r="I54" s="10" t="n">
        <v>21339978.4515817</v>
      </c>
      <c r="J54" s="13">
        <f>IF($A54="","",IFERROR(D54/B54,0))</f>
        <v/>
      </c>
      <c r="K54" s="13">
        <f>IF($A54="","",IFERROR(I54/B54,0))</f>
        <v/>
      </c>
      <c r="L54" s="11">
        <f>IF($A54="","",IFERROR(C54/E54,0))</f>
        <v/>
      </c>
      <c r="M54" s="12">
        <f>IF($A54="","",F54+G54)</f>
        <v/>
      </c>
      <c r="N54" s="11">
        <f>IF($A54="","",IFERROR(I54/H54-1,0))</f>
        <v/>
      </c>
    </row>
    <row r="55" ht="22" customHeight="1">
      <c r="A55" s="9" t="n">
        <v>46398</v>
      </c>
      <c r="B55" s="10" t="n">
        <v>238</v>
      </c>
      <c r="C55" s="10" t="n">
        <v>228</v>
      </c>
      <c r="D55" s="10" t="n">
        <v>20911457.68417959</v>
      </c>
      <c r="E55" s="10" t="n">
        <v>180</v>
      </c>
      <c r="F55" s="10" t="n">
        <v>239</v>
      </c>
      <c r="G55" s="10" t="n">
        <v>63</v>
      </c>
      <c r="H55" s="10" t="n">
        <v>16416000</v>
      </c>
      <c r="I55" s="10" t="n">
        <v>20911457.68417959</v>
      </c>
      <c r="J55" s="13">
        <f>IF($A55="","",IFERROR(D55/B55,0))</f>
        <v/>
      </c>
      <c r="K55" s="13">
        <f>IF($A55="","",IFERROR(I55/B55,0))</f>
        <v/>
      </c>
      <c r="L55" s="11">
        <f>IF($A55="","",IFERROR(C55/E55,0))</f>
        <v/>
      </c>
      <c r="M55" s="12">
        <f>IF($A55="","",F55+G55)</f>
        <v/>
      </c>
      <c r="N55" s="11">
        <f>IF($A55="","",IFERROR(I55/H55-1,0))</f>
        <v/>
      </c>
    </row>
    <row r="56" ht="22" customHeight="1">
      <c r="A56" s="9" t="n">
        <v>46405</v>
      </c>
      <c r="B56" s="10" t="n">
        <v>239</v>
      </c>
      <c r="C56" s="10" t="n">
        <v>207</v>
      </c>
      <c r="D56" s="10" t="n">
        <v>21434513.49388539</v>
      </c>
      <c r="E56" s="10" t="n">
        <v>180</v>
      </c>
      <c r="F56" s="10" t="n">
        <v>217</v>
      </c>
      <c r="G56" s="10" t="n">
        <v>57</v>
      </c>
      <c r="H56" s="10" t="n">
        <v>14904000</v>
      </c>
      <c r="I56" s="10" t="n">
        <v>21434513.49388539</v>
      </c>
      <c r="J56" s="13">
        <f>IF($A56="","",IFERROR(D56/B56,0))</f>
        <v/>
      </c>
      <c r="K56" s="13">
        <f>IF($A56="","",IFERROR(I56/B56,0))</f>
        <v/>
      </c>
      <c r="L56" s="11">
        <f>IF($A56="","",IFERROR(C56/E56,0))</f>
        <v/>
      </c>
      <c r="M56" s="12">
        <f>IF($A56="","",F56+G56)</f>
        <v/>
      </c>
      <c r="N56" s="11">
        <f>IF($A56="","",IFERROR(I56/H56-1,0))</f>
        <v/>
      </c>
    </row>
    <row r="57" ht="22" customHeight="1">
      <c r="A57" s="9" t="n">
        <v>46412</v>
      </c>
      <c r="B57" s="10" t="n">
        <v>240</v>
      </c>
      <c r="C57" s="10" t="n">
        <v>226</v>
      </c>
      <c r="D57" s="10" t="n">
        <v>20992736.88333206</v>
      </c>
      <c r="E57" s="10" t="n">
        <v>180</v>
      </c>
      <c r="F57" s="10" t="n">
        <v>237</v>
      </c>
      <c r="G57" s="10" t="n">
        <v>63</v>
      </c>
      <c r="H57" s="10" t="n">
        <v>16272000</v>
      </c>
      <c r="I57" s="10" t="n">
        <v>20992736.88333206</v>
      </c>
      <c r="J57" s="13">
        <f>IF($A57="","",IFERROR(D57/B57,0))</f>
        <v/>
      </c>
      <c r="K57" s="13">
        <f>IF($A57="","",IFERROR(I57/B57,0))</f>
        <v/>
      </c>
      <c r="L57" s="11">
        <f>IF($A57="","",IFERROR(C57/E57,0))</f>
        <v/>
      </c>
      <c r="M57" s="12">
        <f>IF($A57="","",F57+G57)</f>
        <v/>
      </c>
      <c r="N57" s="11">
        <f>IF($A57="","",IFERROR(I57/H57-1,0))</f>
        <v/>
      </c>
    </row>
    <row r="58" ht="22" customHeight="1">
      <c r="A58" s="9" t="n">
        <v>46419</v>
      </c>
      <c r="B58" s="10" t="n">
        <v>241</v>
      </c>
      <c r="C58" s="10" t="n">
        <v>221</v>
      </c>
      <c r="D58" s="10" t="n">
        <v>21764610.45793362</v>
      </c>
      <c r="E58" s="10" t="n">
        <v>180</v>
      </c>
      <c r="F58" s="10" t="n">
        <v>232</v>
      </c>
      <c r="G58" s="10" t="n">
        <v>61</v>
      </c>
      <c r="H58" s="10" t="n">
        <v>15912000</v>
      </c>
      <c r="I58" s="10" t="n">
        <v>21764610.45793362</v>
      </c>
      <c r="J58" s="13">
        <f>IF($A58="","",IFERROR(D58/B58,0))</f>
        <v/>
      </c>
      <c r="K58" s="13">
        <f>IF($A58="","",IFERROR(I58/B58,0))</f>
        <v/>
      </c>
      <c r="L58" s="11">
        <f>IF($A58="","",IFERROR(C58/E58,0))</f>
        <v/>
      </c>
      <c r="M58" s="12">
        <f>IF($A58="","",F58+G58)</f>
        <v/>
      </c>
      <c r="N58" s="11">
        <f>IF($A58="","",IFERROR(I58/H58-1,0))</f>
        <v/>
      </c>
    </row>
    <row r="59" ht="22" customHeight="1">
      <c r="A59" s="9" t="n">
        <v>46426</v>
      </c>
      <c r="B59" s="10" t="n">
        <v>242</v>
      </c>
      <c r="C59" s="10" t="n">
        <v>212</v>
      </c>
      <c r="D59" s="10" t="n">
        <v>18730167.59158733</v>
      </c>
      <c r="E59" s="10" t="n">
        <v>180</v>
      </c>
      <c r="F59" s="10" t="n">
        <v>222</v>
      </c>
      <c r="G59" s="10" t="n">
        <v>59</v>
      </c>
      <c r="H59" s="10" t="n">
        <v>15264000</v>
      </c>
      <c r="I59" s="10" t="n">
        <v>18730167.59158733</v>
      </c>
      <c r="J59" s="13">
        <f>IF($A59="","",IFERROR(D59/B59,0))</f>
        <v/>
      </c>
      <c r="K59" s="13">
        <f>IF($A59="","",IFERROR(I59/B59,0))</f>
        <v/>
      </c>
      <c r="L59" s="11">
        <f>IF($A59="","",IFERROR(C59/E59,0))</f>
        <v/>
      </c>
      <c r="M59" s="12">
        <f>IF($A59="","",F59+G59)</f>
        <v/>
      </c>
      <c r="N59" s="11">
        <f>IF($A59="","",IFERROR(I59/H59-1,0))</f>
        <v/>
      </c>
    </row>
    <row r="60" ht="22" customHeight="1">
      <c r="A60" s="9" t="n">
        <v>46433</v>
      </c>
      <c r="B60" s="10" t="n">
        <v>243</v>
      </c>
      <c r="C60" s="10" t="n">
        <v>222</v>
      </c>
      <c r="D60" s="10" t="n">
        <v>23442002.43772318</v>
      </c>
      <c r="E60" s="10" t="n">
        <v>180</v>
      </c>
      <c r="F60" s="10" t="n">
        <v>233</v>
      </c>
      <c r="G60" s="10" t="n">
        <v>62</v>
      </c>
      <c r="H60" s="10" t="n">
        <v>15984000</v>
      </c>
      <c r="I60" s="10" t="n">
        <v>23442002.43772318</v>
      </c>
      <c r="J60" s="13">
        <f>IF($A60="","",IFERROR(D60/B60,0))</f>
        <v/>
      </c>
      <c r="K60" s="13">
        <f>IF($A60="","",IFERROR(I60/B60,0))</f>
        <v/>
      </c>
      <c r="L60" s="11">
        <f>IF($A60="","",IFERROR(C60/E60,0))</f>
        <v/>
      </c>
      <c r="M60" s="12">
        <f>IF($A60="","",F60+G60)</f>
        <v/>
      </c>
      <c r="N60" s="11">
        <f>IF($A60="","",IFERROR(I60/H60-1,0))</f>
        <v/>
      </c>
    </row>
    <row r="61" ht="22" customHeight="1">
      <c r="A61" s="9" t="n">
        <v>46440</v>
      </c>
      <c r="B61" s="10" t="n">
        <v>244</v>
      </c>
      <c r="C61" s="10" t="n">
        <v>223</v>
      </c>
      <c r="D61" s="10" t="n">
        <v>20865232.79097044</v>
      </c>
      <c r="E61" s="10" t="n">
        <v>180</v>
      </c>
      <c r="F61" s="10" t="n">
        <v>234</v>
      </c>
      <c r="G61" s="10" t="n">
        <v>62</v>
      </c>
      <c r="H61" s="10" t="n">
        <v>16056000</v>
      </c>
      <c r="I61" s="10" t="n">
        <v>20865232.79097044</v>
      </c>
      <c r="J61" s="13">
        <f>IF($A61="","",IFERROR(D61/B61,0))</f>
        <v/>
      </c>
      <c r="K61" s="13">
        <f>IF($A61="","",IFERROR(I61/B61,0))</f>
        <v/>
      </c>
      <c r="L61" s="11">
        <f>IF($A61="","",IFERROR(C61/E61,0))</f>
        <v/>
      </c>
      <c r="M61" s="12">
        <f>IF($A61="","",F61+G61)</f>
        <v/>
      </c>
      <c r="N61" s="11">
        <f>IF($A61="","",IFERROR(I61/H61-1,0))</f>
        <v/>
      </c>
    </row>
    <row r="62" ht="22" customHeight="1">
      <c r="A62" s="9" t="n">
        <v>46447</v>
      </c>
      <c r="B62" s="10" t="n">
        <v>245</v>
      </c>
      <c r="C62" s="10" t="n">
        <v>227</v>
      </c>
      <c r="D62" s="10" t="n">
        <v>21759779.84656762</v>
      </c>
      <c r="E62" s="10" t="n">
        <v>180</v>
      </c>
      <c r="F62" s="10" t="n">
        <v>238</v>
      </c>
      <c r="G62" s="10" t="n">
        <v>63</v>
      </c>
      <c r="H62" s="10" t="n">
        <v>16344000</v>
      </c>
      <c r="I62" s="10" t="n">
        <v>21759779.84656762</v>
      </c>
      <c r="J62" s="13">
        <f>IF($A62="","",IFERROR(D62/B62,0))</f>
        <v/>
      </c>
      <c r="K62" s="13">
        <f>IF($A62="","",IFERROR(I62/B62,0))</f>
        <v/>
      </c>
      <c r="L62" s="11">
        <f>IF($A62="","",IFERROR(C62/E62,0))</f>
        <v/>
      </c>
      <c r="M62" s="12">
        <f>IF($A62="","",F62+G62)</f>
        <v/>
      </c>
      <c r="N62" s="11">
        <f>IF($A62="","",IFERROR(I62/H62-1,0))</f>
        <v/>
      </c>
    </row>
    <row r="63" ht="22" customHeight="1">
      <c r="A63" s="9" t="n">
        <v>46454</v>
      </c>
      <c r="B63" s="10" t="n">
        <v>246</v>
      </c>
      <c r="C63" s="10" t="n">
        <v>215</v>
      </c>
      <c r="D63" s="10" t="n">
        <v>20578876.87621882</v>
      </c>
      <c r="E63" s="10" t="n">
        <v>180</v>
      </c>
      <c r="F63" s="10" t="n">
        <v>225</v>
      </c>
      <c r="G63" s="10" t="n">
        <v>60</v>
      </c>
      <c r="H63" s="10" t="n">
        <v>15480000</v>
      </c>
      <c r="I63" s="10" t="n">
        <v>20578876.87621882</v>
      </c>
      <c r="J63" s="13">
        <f>IF($A63="","",IFERROR(D63/B63,0))</f>
        <v/>
      </c>
      <c r="K63" s="13">
        <f>IF($A63="","",IFERROR(I63/B63,0))</f>
        <v/>
      </c>
      <c r="L63" s="11">
        <f>IF($A63="","",IFERROR(C63/E63,0))</f>
        <v/>
      </c>
      <c r="M63" s="12">
        <f>IF($A63="","",F63+G63)</f>
        <v/>
      </c>
      <c r="N63" s="11">
        <f>IF($A63="","",IFERROR(I63/H63-1,0))</f>
        <v/>
      </c>
    </row>
    <row r="64" ht="22" customHeight="1">
      <c r="A64" s="9" t="n">
        <v>46461</v>
      </c>
      <c r="B64" s="10" t="n">
        <v>248</v>
      </c>
      <c r="C64" s="10" t="n">
        <v>221</v>
      </c>
      <c r="D64" s="10" t="n">
        <v>20724430.87878467</v>
      </c>
      <c r="E64" s="10" t="n">
        <v>180</v>
      </c>
      <c r="F64" s="10" t="n">
        <v>232</v>
      </c>
      <c r="G64" s="10" t="n">
        <v>61</v>
      </c>
      <c r="H64" s="10" t="n">
        <v>15912000</v>
      </c>
      <c r="I64" s="10" t="n">
        <v>20724430.87878467</v>
      </c>
      <c r="J64" s="13">
        <f>IF($A64="","",IFERROR(D64/B64,0))</f>
        <v/>
      </c>
      <c r="K64" s="13">
        <f>IF($A64="","",IFERROR(I64/B64,0))</f>
        <v/>
      </c>
      <c r="L64" s="11">
        <f>IF($A64="","",IFERROR(C64/E64,0))</f>
        <v/>
      </c>
      <c r="M64" s="12">
        <f>IF($A64="","",F64+G64)</f>
        <v/>
      </c>
      <c r="N64" s="11">
        <f>IF($A64="","",IFERROR(I64/H64-1,0))</f>
        <v/>
      </c>
    </row>
    <row r="65" ht="22" customHeight="1">
      <c r="A65" s="9" t="n">
        <v>46468</v>
      </c>
      <c r="B65" s="10" t="n">
        <v>249</v>
      </c>
      <c r="C65" s="10" t="n">
        <v>237</v>
      </c>
      <c r="D65" s="10" t="n">
        <v>22659294.17106142</v>
      </c>
      <c r="E65" s="10" t="n">
        <v>180</v>
      </c>
      <c r="F65" s="10" t="n">
        <v>248</v>
      </c>
      <c r="G65" s="10" t="n">
        <v>66</v>
      </c>
      <c r="H65" s="10" t="n">
        <v>17064000</v>
      </c>
      <c r="I65" s="10" t="n">
        <v>22659294.17106142</v>
      </c>
      <c r="J65" s="13">
        <f>IF($A65="","",IFERROR(D65/B65,0))</f>
        <v/>
      </c>
      <c r="K65" s="13">
        <f>IF($A65="","",IFERROR(I65/B65,0))</f>
        <v/>
      </c>
      <c r="L65" s="11">
        <f>IF($A65="","",IFERROR(C65/E65,0))</f>
        <v/>
      </c>
      <c r="M65" s="12">
        <f>IF($A65="","",F65+G65)</f>
        <v/>
      </c>
      <c r="N65" s="11">
        <f>IF($A65="","",IFERROR(I65/H65-1,0))</f>
        <v/>
      </c>
    </row>
    <row r="66" ht="22" customHeight="1">
      <c r="A66" s="9" t="n">
        <v>46475</v>
      </c>
      <c r="B66" s="10" t="n">
        <v>250</v>
      </c>
      <c r="C66" s="10" t="n">
        <v>235</v>
      </c>
      <c r="D66" s="10" t="n">
        <v>21322130.505878</v>
      </c>
      <c r="E66" s="10" t="n">
        <v>180</v>
      </c>
      <c r="F66" s="10" t="n">
        <v>246</v>
      </c>
      <c r="G66" s="10" t="n">
        <v>65</v>
      </c>
      <c r="H66" s="10" t="n">
        <v>16920000</v>
      </c>
      <c r="I66" s="10" t="n">
        <v>21322130.505878</v>
      </c>
      <c r="J66" s="13">
        <f>IF($A66="","",IFERROR(D66/B66,0))</f>
        <v/>
      </c>
      <c r="K66" s="13">
        <f>IF($A66="","",IFERROR(I66/B66,0))</f>
        <v/>
      </c>
      <c r="L66" s="11">
        <f>IF($A66="","",IFERROR(C66/E66,0))</f>
        <v/>
      </c>
      <c r="M66" s="12">
        <f>IF($A66="","",F66+G66)</f>
        <v/>
      </c>
      <c r="N66" s="11">
        <f>IF($A66="","",IFERROR(I66/H66-1,0))</f>
        <v/>
      </c>
    </row>
    <row r="67" ht="22" customHeight="1">
      <c r="A67" s="9" t="n">
        <v>46482</v>
      </c>
      <c r="B67" s="10" t="n">
        <v>251</v>
      </c>
      <c r="C67" s="10" t="n">
        <v>226</v>
      </c>
      <c r="D67" s="10" t="n">
        <v>21650297.87658282</v>
      </c>
      <c r="E67" s="10" t="n">
        <v>180</v>
      </c>
      <c r="F67" s="10" t="n">
        <v>237</v>
      </c>
      <c r="G67" s="10" t="n">
        <v>63</v>
      </c>
      <c r="H67" s="10" t="n">
        <v>16272000</v>
      </c>
      <c r="I67" s="10" t="n">
        <v>21650297.87658282</v>
      </c>
      <c r="J67" s="13">
        <f>IF($A67="","",IFERROR(D67/B67,0))</f>
        <v/>
      </c>
      <c r="K67" s="13">
        <f>IF($A67="","",IFERROR(I67/B67,0))</f>
        <v/>
      </c>
      <c r="L67" s="11">
        <f>IF($A67="","",IFERROR(C67/E67,0))</f>
        <v/>
      </c>
      <c r="M67" s="12">
        <f>IF($A67="","",F67+G67)</f>
        <v/>
      </c>
      <c r="N67" s="11">
        <f>IF($A67="","",IFERROR(I67/H67-1,0))</f>
        <v/>
      </c>
    </row>
    <row r="68" ht="22" customHeight="1">
      <c r="A68" s="9" t="n">
        <v>46489</v>
      </c>
      <c r="B68" s="10" t="n">
        <v>252</v>
      </c>
      <c r="C68" s="10" t="n">
        <v>228</v>
      </c>
      <c r="D68" s="10" t="n">
        <v>19746357.01733708</v>
      </c>
      <c r="E68" s="10" t="n">
        <v>180</v>
      </c>
      <c r="F68" s="10" t="n">
        <v>239</v>
      </c>
      <c r="G68" s="10" t="n">
        <v>63</v>
      </c>
      <c r="H68" s="10" t="n">
        <v>16416000</v>
      </c>
      <c r="I68" s="10" t="n">
        <v>19746357.01733708</v>
      </c>
      <c r="J68" s="13">
        <f>IF($A68="","",IFERROR(D68/B68,0))</f>
        <v/>
      </c>
      <c r="K68" s="13">
        <f>IF($A68="","",IFERROR(I68/B68,0))</f>
        <v/>
      </c>
      <c r="L68" s="11">
        <f>IF($A68="","",IFERROR(C68/E68,0))</f>
        <v/>
      </c>
      <c r="M68" s="12">
        <f>IF($A68="","",F68+G68)</f>
        <v/>
      </c>
      <c r="N68" s="11">
        <f>IF($A68="","",IFERROR(I68/H68-1,0))</f>
        <v/>
      </c>
    </row>
    <row r="69" ht="22" customHeight="1">
      <c r="A69" s="9" t="n">
        <v>46496</v>
      </c>
      <c r="B69" s="10" t="n">
        <v>253</v>
      </c>
      <c r="C69" s="10" t="n">
        <v>233</v>
      </c>
      <c r="D69" s="10" t="n">
        <v>23828992.00415505</v>
      </c>
      <c r="E69" s="10" t="n">
        <v>180</v>
      </c>
      <c r="F69" s="10" t="n">
        <v>244</v>
      </c>
      <c r="G69" s="10" t="n">
        <v>65</v>
      </c>
      <c r="H69" s="10" t="n">
        <v>16776000</v>
      </c>
      <c r="I69" s="10" t="n">
        <v>23828992.00415505</v>
      </c>
      <c r="J69" s="13">
        <f>IF($A69="","",IFERROR(D69/B69,0))</f>
        <v/>
      </c>
      <c r="K69" s="13">
        <f>IF($A69="","",IFERROR(I69/B69,0))</f>
        <v/>
      </c>
      <c r="L69" s="11">
        <f>IF($A69="","",IFERROR(C69/E69,0))</f>
        <v/>
      </c>
      <c r="M69" s="12">
        <f>IF($A69="","",F69+G69)</f>
        <v/>
      </c>
      <c r="N69" s="11">
        <f>IF($A69="","",IFERROR(I69/H69-1,0))</f>
        <v/>
      </c>
    </row>
    <row r="70" ht="22" customHeight="1">
      <c r="A70" s="9" t="n">
        <v>46503</v>
      </c>
      <c r="B70" s="10" t="n">
        <v>254</v>
      </c>
      <c r="C70" s="10" t="n">
        <v>239</v>
      </c>
      <c r="D70" s="10" t="n">
        <v>24047938.70500829</v>
      </c>
      <c r="E70" s="10" t="n">
        <v>180</v>
      </c>
      <c r="F70" s="10" t="n">
        <v>250</v>
      </c>
      <c r="G70" s="10" t="n">
        <v>66</v>
      </c>
      <c r="H70" s="10" t="n">
        <v>17208000</v>
      </c>
      <c r="I70" s="10" t="n">
        <v>24047938.70500829</v>
      </c>
      <c r="J70" s="13">
        <f>IF($A70="","",IFERROR(D70/B70,0))</f>
        <v/>
      </c>
      <c r="K70" s="13">
        <f>IF($A70="","",IFERROR(I70/B70,0))</f>
        <v/>
      </c>
      <c r="L70" s="11">
        <f>IF($A70="","",IFERROR(C70/E70,0))</f>
        <v/>
      </c>
      <c r="M70" s="12">
        <f>IF($A70="","",F70+G70)</f>
        <v/>
      </c>
      <c r="N70" s="11">
        <f>IF($A70="","",IFERROR(I70/H70-1,0))</f>
        <v/>
      </c>
    </row>
    <row r="71" ht="22" customHeight="1">
      <c r="A71" s="9" t="n">
        <v>46510</v>
      </c>
      <c r="B71" s="10" t="n">
        <v>255</v>
      </c>
      <c r="C71" s="10" t="n">
        <v>227</v>
      </c>
      <c r="D71" s="10" t="n">
        <v>19431593.92875372</v>
      </c>
      <c r="E71" s="10" t="n">
        <v>180</v>
      </c>
      <c r="F71" s="10" t="n">
        <v>238</v>
      </c>
      <c r="G71" s="10" t="n">
        <v>63</v>
      </c>
      <c r="H71" s="10" t="n">
        <v>16344000</v>
      </c>
      <c r="I71" s="10" t="n">
        <v>19431593.92875372</v>
      </c>
      <c r="J71" s="13">
        <f>IF($A71="","",IFERROR(D71/B71,0))</f>
        <v/>
      </c>
      <c r="K71" s="13">
        <f>IF($A71="","",IFERROR(I71/B71,0))</f>
        <v/>
      </c>
      <c r="L71" s="11">
        <f>IF($A71="","",IFERROR(C71/E71,0))</f>
        <v/>
      </c>
      <c r="M71" s="12">
        <f>IF($A71="","",F71+G71)</f>
        <v/>
      </c>
      <c r="N71" s="11">
        <f>IF($A71="","",IFERROR(I71/H71-1,0))</f>
        <v/>
      </c>
    </row>
    <row r="72" ht="22" customHeight="1">
      <c r="A72" s="9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3">
        <f>IF($A72="","",IFERROR(D72/B72,0))</f>
        <v/>
      </c>
      <c r="K72" s="13">
        <f>IF($A72="","",IFERROR(I72/B72,0))</f>
        <v/>
      </c>
      <c r="L72" s="11">
        <f>IF($A72="","",IFERROR(C72/E72,0))</f>
        <v/>
      </c>
      <c r="M72" s="12">
        <f>IF($A72="","",F72+G72)</f>
        <v/>
      </c>
      <c r="N72" s="11">
        <f>IF($A72="","",IFERROR(I72/H72-1,0))</f>
        <v/>
      </c>
    </row>
    <row r="73" ht="22" customHeight="1">
      <c r="A73" s="9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3">
        <f>IF($A73="","",IFERROR(D73/B73,0))</f>
        <v/>
      </c>
      <c r="K73" s="13">
        <f>IF($A73="","",IFERROR(I73/B73,0))</f>
        <v/>
      </c>
      <c r="L73" s="11">
        <f>IF($A73="","",IFERROR(C73/E73,0))</f>
        <v/>
      </c>
      <c r="M73" s="12">
        <f>IF($A73="","",F73+G73)</f>
        <v/>
      </c>
      <c r="N73" s="11">
        <f>IF($A73="","",IFERROR(I73/H73-1,0))</f>
        <v/>
      </c>
    </row>
    <row r="74" ht="22" customHeight="1">
      <c r="A74" s="9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3">
        <f>IF($A74="","",IFERROR(D74/B74,0))</f>
        <v/>
      </c>
      <c r="K74" s="13">
        <f>IF($A74="","",IFERROR(I74/B74,0))</f>
        <v/>
      </c>
      <c r="L74" s="11">
        <f>IF($A74="","",IFERROR(C74/E74,0))</f>
        <v/>
      </c>
      <c r="M74" s="12">
        <f>IF($A74="","",F74+G74)</f>
        <v/>
      </c>
      <c r="N74" s="11">
        <f>IF($A74="","",IFERROR(I74/H74-1,0))</f>
        <v/>
      </c>
    </row>
    <row r="75" ht="22" customHeight="1">
      <c r="A75" s="9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3">
        <f>IF($A75="","",IFERROR(D75/B75,0))</f>
        <v/>
      </c>
      <c r="K75" s="13">
        <f>IF($A75="","",IFERROR(I75/B75,0))</f>
        <v/>
      </c>
      <c r="L75" s="11">
        <f>IF($A75="","",IFERROR(C75/E75,0))</f>
        <v/>
      </c>
      <c r="M75" s="12">
        <f>IF($A75="","",F75+G75)</f>
        <v/>
      </c>
      <c r="N75" s="11">
        <f>IF($A75="","",IFERROR(I75/H75-1,0))</f>
        <v/>
      </c>
    </row>
    <row r="76" ht="22" customHeight="1">
      <c r="A76" s="9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3">
        <f>IF($A76="","",IFERROR(D76/B76,0))</f>
        <v/>
      </c>
      <c r="K76" s="13">
        <f>IF($A76="","",IFERROR(I76/B76,0))</f>
        <v/>
      </c>
      <c r="L76" s="11">
        <f>IF($A76="","",IFERROR(C76/E76,0))</f>
        <v/>
      </c>
      <c r="M76" s="12">
        <f>IF($A76="","",F76+G76)</f>
        <v/>
      </c>
      <c r="N76" s="11">
        <f>IF($A76="","",IFERROR(I76/H76-1,0))</f>
        <v/>
      </c>
    </row>
    <row r="77" ht="22" customHeight="1">
      <c r="A77" s="9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3">
        <f>IF($A77="","",IFERROR(D77/B77,0))</f>
        <v/>
      </c>
      <c r="K77" s="13">
        <f>IF($A77="","",IFERROR(I77/B77,0))</f>
        <v/>
      </c>
      <c r="L77" s="11">
        <f>IF($A77="","",IFERROR(C77/E77,0))</f>
        <v/>
      </c>
      <c r="M77" s="12">
        <f>IF($A77="","",F77+G77)</f>
        <v/>
      </c>
      <c r="N77" s="11">
        <f>IF($A77="","",IFERROR(I77/H77-1,0))</f>
        <v/>
      </c>
    </row>
    <row r="78" ht="22" customHeight="1">
      <c r="A78" s="9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3">
        <f>IF($A78="","",IFERROR(D78/B78,0))</f>
        <v/>
      </c>
      <c r="K78" s="13">
        <f>IF($A78="","",IFERROR(I78/B78,0))</f>
        <v/>
      </c>
      <c r="L78" s="11">
        <f>IF($A78="","",IFERROR(C78/E78,0))</f>
        <v/>
      </c>
      <c r="M78" s="12">
        <f>IF($A78="","",F78+G78)</f>
        <v/>
      </c>
      <c r="N78" s="11">
        <f>IF($A78="","",IFERROR(I78/H78-1,0))</f>
        <v/>
      </c>
    </row>
    <row r="79" ht="22" customHeight="1">
      <c r="A79" s="9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3">
        <f>IF($A79="","",IFERROR(D79/B79,0))</f>
        <v/>
      </c>
      <c r="K79" s="13">
        <f>IF($A79="","",IFERROR(I79/B79,0))</f>
        <v/>
      </c>
      <c r="L79" s="11">
        <f>IF($A79="","",IFERROR(C79/E79,0))</f>
        <v/>
      </c>
      <c r="M79" s="12">
        <f>IF($A79="","",F79+G79)</f>
        <v/>
      </c>
      <c r="N79" s="11">
        <f>IF($A79="","",IFERROR(I79/H79-1,0))</f>
        <v/>
      </c>
    </row>
    <row r="80" ht="22" customHeight="1">
      <c r="A80" s="9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3">
        <f>IF($A80="","",IFERROR(D80/B80,0))</f>
        <v/>
      </c>
      <c r="K80" s="13">
        <f>IF($A80="","",IFERROR(I80/B80,0))</f>
        <v/>
      </c>
      <c r="L80" s="11">
        <f>IF($A80="","",IFERROR(C80/E80,0))</f>
        <v/>
      </c>
      <c r="M80" s="12">
        <f>IF($A80="","",F80+G80)</f>
        <v/>
      </c>
      <c r="N80" s="11">
        <f>IF($A80="","",IFERROR(I80/H80-1,0))</f>
        <v/>
      </c>
    </row>
    <row r="81" ht="22" customHeight="1">
      <c r="A81" s="9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3">
        <f>IF($A81="","",IFERROR(D81/B81,0))</f>
        <v/>
      </c>
      <c r="K81" s="13">
        <f>IF($A81="","",IFERROR(I81/B81,0))</f>
        <v/>
      </c>
      <c r="L81" s="11">
        <f>IF($A81="","",IFERROR(C81/E81,0))</f>
        <v/>
      </c>
      <c r="M81" s="12">
        <f>IF($A81="","",F81+G81)</f>
        <v/>
      </c>
      <c r="N81" s="11">
        <f>IF($A81="","",IFERROR(I81/H81-1,0))</f>
        <v/>
      </c>
    </row>
    <row r="82" ht="22" customHeight="1">
      <c r="A82" s="9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3">
        <f>IF($A82="","",IFERROR(D82/B82,0))</f>
        <v/>
      </c>
      <c r="K82" s="13">
        <f>IF($A82="","",IFERROR(I82/B82,0))</f>
        <v/>
      </c>
      <c r="L82" s="11">
        <f>IF($A82="","",IFERROR(C82/E82,0))</f>
        <v/>
      </c>
      <c r="M82" s="12">
        <f>IF($A82="","",F82+G82)</f>
        <v/>
      </c>
      <c r="N82" s="11">
        <f>IF($A82="","",IFERROR(I82/H82-1,0))</f>
        <v/>
      </c>
    </row>
    <row r="83" ht="22" customHeight="1">
      <c r="A83" s="9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3">
        <f>IF($A83="","",IFERROR(D83/B83,0))</f>
        <v/>
      </c>
      <c r="K83" s="13">
        <f>IF($A83="","",IFERROR(I83/B83,0))</f>
        <v/>
      </c>
      <c r="L83" s="11">
        <f>IF($A83="","",IFERROR(C83/E83,0))</f>
        <v/>
      </c>
      <c r="M83" s="12">
        <f>IF($A83="","",F83+G83)</f>
        <v/>
      </c>
      <c r="N83" s="11">
        <f>IF($A83="","",IFERROR(I83/H83-1,0))</f>
        <v/>
      </c>
    </row>
    <row r="84" ht="22" customHeight="1">
      <c r="A84" s="9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3">
        <f>IF($A84="","",IFERROR(D84/B84,0))</f>
        <v/>
      </c>
      <c r="K84" s="13">
        <f>IF($A84="","",IFERROR(I84/B84,0))</f>
        <v/>
      </c>
      <c r="L84" s="11">
        <f>IF($A84="","",IFERROR(C84/E84,0))</f>
        <v/>
      </c>
      <c r="M84" s="12">
        <f>IF($A84="","",F84+G84)</f>
        <v/>
      </c>
      <c r="N84" s="11">
        <f>IF($A84="","",IFERROR(I84/H84-1,0))</f>
        <v/>
      </c>
    </row>
    <row r="85" ht="22" customHeight="1">
      <c r="A85" s="9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3">
        <f>IF($A85="","",IFERROR(D85/B85,0))</f>
        <v/>
      </c>
      <c r="K85" s="13">
        <f>IF($A85="","",IFERROR(I85/B85,0))</f>
        <v/>
      </c>
      <c r="L85" s="11">
        <f>IF($A85="","",IFERROR(C85/E85,0))</f>
        <v/>
      </c>
      <c r="M85" s="12">
        <f>IF($A85="","",F85+G85)</f>
        <v/>
      </c>
      <c r="N85" s="11">
        <f>IF($A85="","",IFERROR(I85/H85-1,0))</f>
        <v/>
      </c>
    </row>
    <row r="86" ht="22" customHeight="1">
      <c r="A86" s="9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3">
        <f>IF($A86="","",IFERROR(D86/B86,0))</f>
        <v/>
      </c>
      <c r="K86" s="13">
        <f>IF($A86="","",IFERROR(I86/B86,0))</f>
        <v/>
      </c>
      <c r="L86" s="11">
        <f>IF($A86="","",IFERROR(C86/E86,0))</f>
        <v/>
      </c>
      <c r="M86" s="12">
        <f>IF($A86="","",F86+G86)</f>
        <v/>
      </c>
      <c r="N86" s="11">
        <f>IF($A86="","",IFERROR(I86/H86-1,0))</f>
        <v/>
      </c>
    </row>
    <row r="87" ht="22" customHeight="1">
      <c r="A87" s="9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3">
        <f>IF($A87="","",IFERROR(D87/B87,0))</f>
        <v/>
      </c>
      <c r="K87" s="13">
        <f>IF($A87="","",IFERROR(I87/B87,0))</f>
        <v/>
      </c>
      <c r="L87" s="11">
        <f>IF($A87="","",IFERROR(C87/E87,0))</f>
        <v/>
      </c>
      <c r="M87" s="12">
        <f>IF($A87="","",F87+G87)</f>
        <v/>
      </c>
      <c r="N87" s="11">
        <f>IF($A87="","",IFERROR(I87/H87-1,0))</f>
        <v/>
      </c>
    </row>
    <row r="88" ht="22" customHeight="1">
      <c r="A88" s="9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3">
        <f>IF($A88="","",IFERROR(D88/B88,0))</f>
        <v/>
      </c>
      <c r="K88" s="13">
        <f>IF($A88="","",IFERROR(I88/B88,0))</f>
        <v/>
      </c>
      <c r="L88" s="11">
        <f>IF($A88="","",IFERROR(C88/E88,0))</f>
        <v/>
      </c>
      <c r="M88" s="12">
        <f>IF($A88="","",F88+G88)</f>
        <v/>
      </c>
      <c r="N88" s="11">
        <f>IF($A88="","",IFERROR(I88/H88-1,0))</f>
        <v/>
      </c>
    </row>
    <row r="89" ht="22" customHeight="1">
      <c r="A89" s="9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3">
        <f>IF($A89="","",IFERROR(D89/B89,0))</f>
        <v/>
      </c>
      <c r="K89" s="13">
        <f>IF($A89="","",IFERROR(I89/B89,0))</f>
        <v/>
      </c>
      <c r="L89" s="11">
        <f>IF($A89="","",IFERROR(C89/E89,0))</f>
        <v/>
      </c>
      <c r="M89" s="12">
        <f>IF($A89="","",F89+G89)</f>
        <v/>
      </c>
      <c r="N89" s="11">
        <f>IF($A89="","",IFERROR(I89/H89-1,0))</f>
        <v/>
      </c>
    </row>
    <row r="90" ht="22" customHeight="1">
      <c r="A90" s="9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3">
        <f>IF($A90="","",IFERROR(D90/B90,0))</f>
        <v/>
      </c>
      <c r="K90" s="13">
        <f>IF($A90="","",IFERROR(I90/B90,0))</f>
        <v/>
      </c>
      <c r="L90" s="11">
        <f>IF($A90="","",IFERROR(C90/E90,0))</f>
        <v/>
      </c>
      <c r="M90" s="12">
        <f>IF($A90="","",F90+G90)</f>
        <v/>
      </c>
      <c r="N90" s="11">
        <f>IF($A90="","",IFERROR(I90/H90-1,0))</f>
        <v/>
      </c>
    </row>
    <row r="91" ht="22" customHeight="1">
      <c r="A91" s="9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3">
        <f>IF($A91="","",IFERROR(D91/B91,0))</f>
        <v/>
      </c>
      <c r="K91" s="13">
        <f>IF($A91="","",IFERROR(I91/B91,0))</f>
        <v/>
      </c>
      <c r="L91" s="11">
        <f>IF($A91="","",IFERROR(C91/E91,0))</f>
        <v/>
      </c>
      <c r="M91" s="12">
        <f>IF($A91="","",F91+G91)</f>
        <v/>
      </c>
      <c r="N91" s="11">
        <f>IF($A91="","",IFERROR(I91/H91-1,0))</f>
        <v/>
      </c>
    </row>
    <row r="92" ht="22" customHeight="1">
      <c r="A92" s="9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3">
        <f>IF($A92="","",IFERROR(D92/B92,0))</f>
        <v/>
      </c>
      <c r="K92" s="13">
        <f>IF($A92="","",IFERROR(I92/B92,0))</f>
        <v/>
      </c>
      <c r="L92" s="11">
        <f>IF($A92="","",IFERROR(C92/E92,0))</f>
        <v/>
      </c>
      <c r="M92" s="12">
        <f>IF($A92="","",F92+G92)</f>
        <v/>
      </c>
      <c r="N92" s="11">
        <f>IF($A92="","",IFERROR(I92/H92-1,0))</f>
        <v/>
      </c>
    </row>
    <row r="93" ht="22" customHeight="1">
      <c r="A93" s="9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3">
        <f>IF($A93="","",IFERROR(D93/B93,0))</f>
        <v/>
      </c>
      <c r="K93" s="13">
        <f>IF($A93="","",IFERROR(I93/B93,0))</f>
        <v/>
      </c>
      <c r="L93" s="11">
        <f>IF($A93="","",IFERROR(C93/E93,0))</f>
        <v/>
      </c>
      <c r="M93" s="12">
        <f>IF($A93="","",F93+G93)</f>
        <v/>
      </c>
      <c r="N93" s="11">
        <f>IF($A93="","",IFERROR(I93/H93-1,0))</f>
        <v/>
      </c>
    </row>
    <row r="94" ht="22" customHeight="1">
      <c r="A94" s="9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3">
        <f>IF($A94="","",IFERROR(D94/B94,0))</f>
        <v/>
      </c>
      <c r="K94" s="13">
        <f>IF($A94="","",IFERROR(I94/B94,0))</f>
        <v/>
      </c>
      <c r="L94" s="11">
        <f>IF($A94="","",IFERROR(C94/E94,0))</f>
        <v/>
      </c>
      <c r="M94" s="12">
        <f>IF($A94="","",F94+G94)</f>
        <v/>
      </c>
      <c r="N94" s="11">
        <f>IF($A94="","",IFERROR(I94/H94-1,0))</f>
        <v/>
      </c>
    </row>
    <row r="95" ht="22" customHeight="1">
      <c r="A95" s="9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3">
        <f>IF($A95="","",IFERROR(D95/B95,0))</f>
        <v/>
      </c>
      <c r="K95" s="13">
        <f>IF($A95="","",IFERROR(I95/B95,0))</f>
        <v/>
      </c>
      <c r="L95" s="11">
        <f>IF($A95="","",IFERROR(C95/E95,0))</f>
        <v/>
      </c>
      <c r="M95" s="12">
        <f>IF($A95="","",F95+G95)</f>
        <v/>
      </c>
      <c r="N95" s="11">
        <f>IF($A95="","",IFERROR(I95/H95-1,0))</f>
        <v/>
      </c>
    </row>
    <row r="96" ht="22" customHeight="1">
      <c r="A96" s="9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3">
        <f>IF($A96="","",IFERROR(D96/B96,0))</f>
        <v/>
      </c>
      <c r="K96" s="13">
        <f>IF($A96="","",IFERROR(I96/B96,0))</f>
        <v/>
      </c>
      <c r="L96" s="11">
        <f>IF($A96="","",IFERROR(C96/E96,0))</f>
        <v/>
      </c>
      <c r="M96" s="12">
        <f>IF($A96="","",F96+G96)</f>
        <v/>
      </c>
      <c r="N96" s="11">
        <f>IF($A96="","",IFERROR(I96/H96-1,0))</f>
        <v/>
      </c>
    </row>
    <row r="97" ht="22" customHeight="1">
      <c r="A97" s="9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3">
        <f>IF($A97="","",IFERROR(D97/B97,0))</f>
        <v/>
      </c>
      <c r="K97" s="13">
        <f>IF($A97="","",IFERROR(I97/B97,0))</f>
        <v/>
      </c>
      <c r="L97" s="11">
        <f>IF($A97="","",IFERROR(C97/E97,0))</f>
        <v/>
      </c>
      <c r="M97" s="12">
        <f>IF($A97="","",F97+G97)</f>
        <v/>
      </c>
      <c r="N97" s="11">
        <f>IF($A97="","",IFERROR(I97/H97-1,0))</f>
        <v/>
      </c>
    </row>
    <row r="98" ht="22" customHeight="1">
      <c r="A98" s="9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3">
        <f>IF($A98="","",IFERROR(D98/B98,0))</f>
        <v/>
      </c>
      <c r="K98" s="13">
        <f>IF($A98="","",IFERROR(I98/B98,0))</f>
        <v/>
      </c>
      <c r="L98" s="11">
        <f>IF($A98="","",IFERROR(C98/E98,0))</f>
        <v/>
      </c>
      <c r="M98" s="12">
        <f>IF($A98="","",F98+G98)</f>
        <v/>
      </c>
      <c r="N98" s="11">
        <f>IF($A98="","",IFERROR(I98/H98-1,0))</f>
        <v/>
      </c>
    </row>
    <row r="99" ht="22" customHeight="1">
      <c r="A99" s="9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3">
        <f>IF($A99="","",IFERROR(D99/B99,0))</f>
        <v/>
      </c>
      <c r="K99" s="13">
        <f>IF($A99="","",IFERROR(I99/B99,0))</f>
        <v/>
      </c>
      <c r="L99" s="11">
        <f>IF($A99="","",IFERROR(C99/E99,0))</f>
        <v/>
      </c>
      <c r="M99" s="12">
        <f>IF($A99="","",F99+G99)</f>
        <v/>
      </c>
      <c r="N99" s="11">
        <f>IF($A99="","",IFERROR(I99/H99-1,0))</f>
        <v/>
      </c>
    </row>
    <row r="100" ht="22" customHeight="1">
      <c r="A100" s="9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3">
        <f>IF($A100="","",IFERROR(D100/B100,0))</f>
        <v/>
      </c>
      <c r="K100" s="13">
        <f>IF($A100="","",IFERROR(I100/B100,0))</f>
        <v/>
      </c>
      <c r="L100" s="11">
        <f>IF($A100="","",IFERROR(C100/E100,0))</f>
        <v/>
      </c>
      <c r="M100" s="12">
        <f>IF($A100="","",F100+G100)</f>
        <v/>
      </c>
      <c r="N100" s="11">
        <f>IF($A100="","",IFERROR(I100/H100-1,0))</f>
        <v/>
      </c>
    </row>
    <row r="101" ht="22" customHeight="1">
      <c r="A101" s="9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3">
        <f>IF($A101="","",IFERROR(D101/B101,0))</f>
        <v/>
      </c>
      <c r="K101" s="13">
        <f>IF($A101="","",IFERROR(I101/B101,0))</f>
        <v/>
      </c>
      <c r="L101" s="11">
        <f>IF($A101="","",IFERROR(C101/E101,0))</f>
        <v/>
      </c>
      <c r="M101" s="12">
        <f>IF($A101="","",F101+G101)</f>
        <v/>
      </c>
      <c r="N101" s="11">
        <f>IF($A101="","",IFERROR(I101/H101-1,0))</f>
        <v/>
      </c>
    </row>
    <row r="102" ht="22" customHeight="1">
      <c r="A102" s="9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3">
        <f>IF($A102="","",IFERROR(D102/B102,0))</f>
        <v/>
      </c>
      <c r="K102" s="13">
        <f>IF($A102="","",IFERROR(I102/B102,0))</f>
        <v/>
      </c>
      <c r="L102" s="11">
        <f>IF($A102="","",IFERROR(C102/E102,0))</f>
        <v/>
      </c>
      <c r="M102" s="12">
        <f>IF($A102="","",F102+G102)</f>
        <v/>
      </c>
      <c r="N102" s="11">
        <f>IF($A102="","",IFERROR(I102/H102-1,0))</f>
        <v/>
      </c>
    </row>
    <row r="103" ht="22" customHeight="1">
      <c r="A103" s="9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3">
        <f>IF($A103="","",IFERROR(D103/B103,0))</f>
        <v/>
      </c>
      <c r="K103" s="13">
        <f>IF($A103="","",IFERROR(I103/B103,0))</f>
        <v/>
      </c>
      <c r="L103" s="11">
        <f>IF($A103="","",IFERROR(C103/E103,0))</f>
        <v/>
      </c>
      <c r="M103" s="12">
        <f>IF($A103="","",F103+G103)</f>
        <v/>
      </c>
      <c r="N103" s="11">
        <f>IF($A103="","",IFERROR(I103/H103-1,0))</f>
        <v/>
      </c>
    </row>
    <row r="104" ht="22" customHeight="1">
      <c r="A104" s="9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3">
        <f>IF($A104="","",IFERROR(D104/B104,0))</f>
        <v/>
      </c>
      <c r="K104" s="13">
        <f>IF($A104="","",IFERROR(I104/B104,0))</f>
        <v/>
      </c>
      <c r="L104" s="11">
        <f>IF($A104="","",IFERROR(C104/E104,0))</f>
        <v/>
      </c>
      <c r="M104" s="12">
        <f>IF($A104="","",F104+G104)</f>
        <v/>
      </c>
      <c r="N104" s="11">
        <f>IF($A104="","",IFERROR(I104/H104-1,0))</f>
        <v/>
      </c>
    </row>
    <row r="105" ht="22" customHeight="1">
      <c r="A105" s="9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3">
        <f>IF($A105="","",IFERROR(D105/B105,0))</f>
        <v/>
      </c>
      <c r="K105" s="13">
        <f>IF($A105="","",IFERROR(I105/B105,0))</f>
        <v/>
      </c>
      <c r="L105" s="11">
        <f>IF($A105="","",IFERROR(C105/E105,0))</f>
        <v/>
      </c>
      <c r="M105" s="12">
        <f>IF($A105="","",F105+G105)</f>
        <v/>
      </c>
      <c r="N105" s="11">
        <f>IF($A105="","",IFERROR(I105/H105-1,0))</f>
        <v/>
      </c>
    </row>
    <row r="106" ht="22" customHeight="1">
      <c r="A106" s="9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3">
        <f>IF($A106="","",IFERROR(D106/B106,0))</f>
        <v/>
      </c>
      <c r="K106" s="13">
        <f>IF($A106="","",IFERROR(I106/B106,0))</f>
        <v/>
      </c>
      <c r="L106" s="11">
        <f>IF($A106="","",IFERROR(C106/E106,0))</f>
        <v/>
      </c>
      <c r="M106" s="12">
        <f>IF($A106="","",F106+G106)</f>
        <v/>
      </c>
      <c r="N106" s="11">
        <f>IF($A106="","",IFERROR(I106/H106-1,0))</f>
        <v/>
      </c>
    </row>
    <row r="107" ht="22" customHeight="1">
      <c r="A107" s="9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3">
        <f>IF($A107="","",IFERROR(D107/B107,0))</f>
        <v/>
      </c>
      <c r="K107" s="13">
        <f>IF($A107="","",IFERROR(I107/B107,0))</f>
        <v/>
      </c>
      <c r="L107" s="11">
        <f>IF($A107="","",IFERROR(C107/E107,0))</f>
        <v/>
      </c>
      <c r="M107" s="12">
        <f>IF($A107="","",F107+G107)</f>
        <v/>
      </c>
      <c r="N107" s="11">
        <f>IF($A107="","",IFERROR(I107/H107-1,0))</f>
        <v/>
      </c>
    </row>
    <row r="108" ht="22" customHeight="1">
      <c r="A108" s="9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3">
        <f>IF($A108="","",IFERROR(D108/B108,0))</f>
        <v/>
      </c>
      <c r="K108" s="13">
        <f>IF($A108="","",IFERROR(I108/B108,0))</f>
        <v/>
      </c>
      <c r="L108" s="11">
        <f>IF($A108="","",IFERROR(C108/E108,0))</f>
        <v/>
      </c>
      <c r="M108" s="12">
        <f>IF($A108="","",F108+G108)</f>
        <v/>
      </c>
      <c r="N108" s="11">
        <f>IF($A108="","",IFERROR(I108/H108-1,0))</f>
        <v/>
      </c>
    </row>
    <row r="109" ht="22" customHeight="1">
      <c r="A109" s="9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3">
        <f>IF($A109="","",IFERROR(D109/B109,0))</f>
        <v/>
      </c>
      <c r="K109" s="13">
        <f>IF($A109="","",IFERROR(I109/B109,0))</f>
        <v/>
      </c>
      <c r="L109" s="11">
        <f>IF($A109="","",IFERROR(C109/E109,0))</f>
        <v/>
      </c>
      <c r="M109" s="12">
        <f>IF($A109="","",F109+G109)</f>
        <v/>
      </c>
      <c r="N109" s="11">
        <f>IF($A109="","",IFERROR(I109/H109-1,0))</f>
        <v/>
      </c>
    </row>
    <row r="110" ht="22" customHeight="1">
      <c r="A110" s="9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3">
        <f>IF($A110="","",IFERROR(D110/B110,0))</f>
        <v/>
      </c>
      <c r="K110" s="13">
        <f>IF($A110="","",IFERROR(I110/B110,0))</f>
        <v/>
      </c>
      <c r="L110" s="11">
        <f>IF($A110="","",IFERROR(C110/E110,0))</f>
        <v/>
      </c>
      <c r="M110" s="12">
        <f>IF($A110="","",F110+G110)</f>
        <v/>
      </c>
      <c r="N110" s="11">
        <f>IF($A110="","",IFERROR(I110/H110-1,0))</f>
        <v/>
      </c>
    </row>
    <row r="111" ht="22" customHeight="1">
      <c r="A111" s="9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3">
        <f>IF($A111="","",IFERROR(D111/B111,0))</f>
        <v/>
      </c>
      <c r="K111" s="13">
        <f>IF($A111="","",IFERROR(I111/B111,0))</f>
        <v/>
      </c>
      <c r="L111" s="11">
        <f>IF($A111="","",IFERROR(C111/E111,0))</f>
        <v/>
      </c>
      <c r="M111" s="12">
        <f>IF($A111="","",F111+G111)</f>
        <v/>
      </c>
      <c r="N111" s="11">
        <f>IF($A111="","",IFERROR(I111/H111-1,0))</f>
        <v/>
      </c>
    </row>
    <row r="112" ht="22" customHeight="1">
      <c r="A112" s="9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3">
        <f>IF($A112="","",IFERROR(D112/B112,0))</f>
        <v/>
      </c>
      <c r="K112" s="13">
        <f>IF($A112="","",IFERROR(I112/B112,0))</f>
        <v/>
      </c>
      <c r="L112" s="11">
        <f>IF($A112="","",IFERROR(C112/E112,0))</f>
        <v/>
      </c>
      <c r="M112" s="12">
        <f>IF($A112="","",F112+G112)</f>
        <v/>
      </c>
      <c r="N112" s="11">
        <f>IF($A112="","",IFERROR(I112/H112-1,0))</f>
        <v/>
      </c>
    </row>
    <row r="113" ht="22" customHeight="1">
      <c r="A113" s="9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3">
        <f>IF($A113="","",IFERROR(D113/B113,0))</f>
        <v/>
      </c>
      <c r="K113" s="13">
        <f>IF($A113="","",IFERROR(I113/B113,0))</f>
        <v/>
      </c>
      <c r="L113" s="11">
        <f>IF($A113="","",IFERROR(C113/E113,0))</f>
        <v/>
      </c>
      <c r="M113" s="12">
        <f>IF($A113="","",F113+G113)</f>
        <v/>
      </c>
      <c r="N113" s="11">
        <f>IF($A113="","",IFERROR(I113/H113-1,0))</f>
        <v/>
      </c>
    </row>
    <row r="114" ht="22" customHeight="1">
      <c r="A114" s="9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3">
        <f>IF($A114="","",IFERROR(D114/B114,0))</f>
        <v/>
      </c>
      <c r="K114" s="13">
        <f>IF($A114="","",IFERROR(I114/B114,0))</f>
        <v/>
      </c>
      <c r="L114" s="11">
        <f>IF($A114="","",IFERROR(C114/E114,0))</f>
        <v/>
      </c>
      <c r="M114" s="12">
        <f>IF($A114="","",F114+G114)</f>
        <v/>
      </c>
      <c r="N114" s="11">
        <f>IF($A114="","",IFERROR(I114/H114-1,0))</f>
        <v/>
      </c>
    </row>
    <row r="115" ht="22" customHeight="1">
      <c r="A115" s="9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3">
        <f>IF($A115="","",IFERROR(D115/B115,0))</f>
        <v/>
      </c>
      <c r="K115" s="13">
        <f>IF($A115="","",IFERROR(I115/B115,0))</f>
        <v/>
      </c>
      <c r="L115" s="11">
        <f>IF($A115="","",IFERROR(C115/E115,0))</f>
        <v/>
      </c>
      <c r="M115" s="12">
        <f>IF($A115="","",F115+G115)</f>
        <v/>
      </c>
      <c r="N115" s="11">
        <f>IF($A115="","",IFERROR(I115/H115-1,0))</f>
        <v/>
      </c>
    </row>
    <row r="116" ht="22" customHeight="1">
      <c r="A116" s="9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3">
        <f>IF($A116="","",IFERROR(D116/B116,0))</f>
        <v/>
      </c>
      <c r="K116" s="13">
        <f>IF($A116="","",IFERROR(I116/B116,0))</f>
        <v/>
      </c>
      <c r="L116" s="11">
        <f>IF($A116="","",IFERROR(C116/E116,0))</f>
        <v/>
      </c>
      <c r="M116" s="12">
        <f>IF($A116="","",F116+G116)</f>
        <v/>
      </c>
      <c r="N116" s="11">
        <f>IF($A116="","",IFERROR(I116/H116-1,0))</f>
        <v/>
      </c>
    </row>
    <row r="117" ht="22" customHeight="1">
      <c r="A117" s="9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3">
        <f>IF($A117="","",IFERROR(D117/B117,0))</f>
        <v/>
      </c>
      <c r="K117" s="13">
        <f>IF($A117="","",IFERROR(I117/B117,0))</f>
        <v/>
      </c>
      <c r="L117" s="11">
        <f>IF($A117="","",IFERROR(C117/E117,0))</f>
        <v/>
      </c>
      <c r="M117" s="12">
        <f>IF($A117="","",F117+G117)</f>
        <v/>
      </c>
      <c r="N117" s="11">
        <f>IF($A117="","",IFERROR(I117/H117-1,0))</f>
        <v/>
      </c>
    </row>
    <row r="118" ht="22" customHeight="1">
      <c r="A118" s="9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3">
        <f>IF($A118="","",IFERROR(D118/B118,0))</f>
        <v/>
      </c>
      <c r="K118" s="13">
        <f>IF($A118="","",IFERROR(I118/B118,0))</f>
        <v/>
      </c>
      <c r="L118" s="11">
        <f>IF($A118="","",IFERROR(C118/E118,0))</f>
        <v/>
      </c>
      <c r="M118" s="12">
        <f>IF($A118="","",F118+G118)</f>
        <v/>
      </c>
      <c r="N118" s="11">
        <f>IF($A118="","",IFERROR(I118/H118-1,0))</f>
        <v/>
      </c>
    </row>
    <row r="119" ht="22" customHeight="1">
      <c r="A119" s="9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3">
        <f>IF($A119="","",IFERROR(D119/B119,0))</f>
        <v/>
      </c>
      <c r="K119" s="13">
        <f>IF($A119="","",IFERROR(I119/B119,0))</f>
        <v/>
      </c>
      <c r="L119" s="11">
        <f>IF($A119="","",IFERROR(C119/E119,0))</f>
        <v/>
      </c>
      <c r="M119" s="12">
        <f>IF($A119="","",F119+G119)</f>
        <v/>
      </c>
      <c r="N119" s="11">
        <f>IF($A119="","",IFERROR(I119/H119-1,0))</f>
        <v/>
      </c>
    </row>
    <row r="120" ht="22" customHeight="1">
      <c r="A120" s="9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3">
        <f>IF($A120="","",IFERROR(D120/B120,0))</f>
        <v/>
      </c>
      <c r="K120" s="13">
        <f>IF($A120="","",IFERROR(I120/B120,0))</f>
        <v/>
      </c>
      <c r="L120" s="11">
        <f>IF($A120="","",IFERROR(C120/E120,0))</f>
        <v/>
      </c>
      <c r="M120" s="12">
        <f>IF($A120="","",F120+G120)</f>
        <v/>
      </c>
      <c r="N120" s="11">
        <f>IF($A120="","",IFERROR(I120/H120-1,0))</f>
        <v/>
      </c>
    </row>
    <row r="121" ht="22" customHeight="1">
      <c r="A121" s="9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3">
        <f>IF($A121="","",IFERROR(D121/B121,0))</f>
        <v/>
      </c>
      <c r="K121" s="13">
        <f>IF($A121="","",IFERROR(I121/B121,0))</f>
        <v/>
      </c>
      <c r="L121" s="11">
        <f>IF($A121="","",IFERROR(C121/E121,0))</f>
        <v/>
      </c>
      <c r="M121" s="12">
        <f>IF($A121="","",F121+G121)</f>
        <v/>
      </c>
      <c r="N121" s="11">
        <f>IF($A121="","",IFERROR(I121/H121-1,0))</f>
        <v/>
      </c>
    </row>
    <row r="122" ht="22" customHeight="1">
      <c r="A122" s="9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3">
        <f>IF($A122="","",IFERROR(D122/B122,0))</f>
        <v/>
      </c>
      <c r="K122" s="13">
        <f>IF($A122="","",IFERROR(I122/B122,0))</f>
        <v/>
      </c>
      <c r="L122" s="11">
        <f>IF($A122="","",IFERROR(C122/E122,0))</f>
        <v/>
      </c>
      <c r="M122" s="12">
        <f>IF($A122="","",F122+G122)</f>
        <v/>
      </c>
      <c r="N122" s="11">
        <f>IF($A122="","",IFERROR(I122/H122-1,0))</f>
        <v/>
      </c>
    </row>
    <row r="123" ht="22" customHeight="1">
      <c r="A123" s="9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3">
        <f>IF($A123="","",IFERROR(D123/B123,0))</f>
        <v/>
      </c>
      <c r="K123" s="13">
        <f>IF($A123="","",IFERROR(I123/B123,0))</f>
        <v/>
      </c>
      <c r="L123" s="11">
        <f>IF($A123="","",IFERROR(C123/E123,0))</f>
        <v/>
      </c>
      <c r="M123" s="12">
        <f>IF($A123="","",F123+G123)</f>
        <v/>
      </c>
      <c r="N123" s="11">
        <f>IF($A123="","",IFERROR(I123/H123-1,0))</f>
        <v/>
      </c>
    </row>
    <row r="124" ht="22" customHeight="1">
      <c r="A124" s="9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3">
        <f>IF($A124="","",IFERROR(D124/B124,0))</f>
        <v/>
      </c>
      <c r="K124" s="13">
        <f>IF($A124="","",IFERROR(I124/B124,0))</f>
        <v/>
      </c>
      <c r="L124" s="11">
        <f>IF($A124="","",IFERROR(C124/E124,0))</f>
        <v/>
      </c>
      <c r="M124" s="12">
        <f>IF($A124="","",F124+G124)</f>
        <v/>
      </c>
      <c r="N124" s="11">
        <f>IF($A124="","",IFERROR(I124/H124-1,0))</f>
        <v/>
      </c>
    </row>
    <row r="125" ht="22" customHeight="1">
      <c r="A125" s="9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3">
        <f>IF($A125="","",IFERROR(D125/B125,0))</f>
        <v/>
      </c>
      <c r="K125" s="13">
        <f>IF($A125="","",IFERROR(I125/B125,0))</f>
        <v/>
      </c>
      <c r="L125" s="11">
        <f>IF($A125="","",IFERROR(C125/E125,0))</f>
        <v/>
      </c>
      <c r="M125" s="12">
        <f>IF($A125="","",F125+G125)</f>
        <v/>
      </c>
      <c r="N125" s="11">
        <f>IF($A125="","",IFERROR(I125/H125-1,0))</f>
        <v/>
      </c>
    </row>
    <row r="126" ht="22" customHeight="1">
      <c r="A126" s="9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3">
        <f>IF($A126="","",IFERROR(D126/B126,0))</f>
        <v/>
      </c>
      <c r="K126" s="13">
        <f>IF($A126="","",IFERROR(I126/B126,0))</f>
        <v/>
      </c>
      <c r="L126" s="11">
        <f>IF($A126="","",IFERROR(C126/E126,0))</f>
        <v/>
      </c>
      <c r="M126" s="12">
        <f>IF($A126="","",F126+G126)</f>
        <v/>
      </c>
      <c r="N126" s="11">
        <f>IF($A126="","",IFERROR(I126/H126-1,0))</f>
        <v/>
      </c>
    </row>
    <row r="127" ht="22" customHeight="1">
      <c r="A127" s="9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3">
        <f>IF($A127="","",IFERROR(D127/B127,0))</f>
        <v/>
      </c>
      <c r="K127" s="13">
        <f>IF($A127="","",IFERROR(I127/B127,0))</f>
        <v/>
      </c>
      <c r="L127" s="11">
        <f>IF($A127="","",IFERROR(C127/E127,0))</f>
        <v/>
      </c>
      <c r="M127" s="12">
        <f>IF($A127="","",F127+G127)</f>
        <v/>
      </c>
      <c r="N127" s="11">
        <f>IF($A127="","",IFERROR(I127/H127-1,0))</f>
        <v/>
      </c>
    </row>
    <row r="128" ht="22" customHeight="1">
      <c r="A128" s="9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3">
        <f>IF($A128="","",IFERROR(D128/B128,0))</f>
        <v/>
      </c>
      <c r="K128" s="13">
        <f>IF($A128="","",IFERROR(I128/B128,0))</f>
        <v/>
      </c>
      <c r="L128" s="11">
        <f>IF($A128="","",IFERROR(C128/E128,0))</f>
        <v/>
      </c>
      <c r="M128" s="12">
        <f>IF($A128="","",F128+G128)</f>
        <v/>
      </c>
      <c r="N128" s="11">
        <f>IF($A128="","",IFERROR(I128/H128-1,0))</f>
        <v/>
      </c>
    </row>
    <row r="129" ht="22" customHeight="1">
      <c r="A129" s="9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3">
        <f>IF($A129="","",IFERROR(D129/B129,0))</f>
        <v/>
      </c>
      <c r="K129" s="13">
        <f>IF($A129="","",IFERROR(I129/B129,0))</f>
        <v/>
      </c>
      <c r="L129" s="11">
        <f>IF($A129="","",IFERROR(C129/E129,0))</f>
        <v/>
      </c>
      <c r="M129" s="12">
        <f>IF($A129="","",F129+G129)</f>
        <v/>
      </c>
      <c r="N129" s="11">
        <f>IF($A129="","",IFERROR(I129/H129-1,0))</f>
        <v/>
      </c>
    </row>
    <row r="130" ht="22" customHeight="1">
      <c r="A130" s="9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3">
        <f>IF($A130="","",IFERROR(D130/B130,0))</f>
        <v/>
      </c>
      <c r="K130" s="13">
        <f>IF($A130="","",IFERROR(I130/B130,0))</f>
        <v/>
      </c>
      <c r="L130" s="11">
        <f>IF($A130="","",IFERROR(C130/E130,0))</f>
        <v/>
      </c>
      <c r="M130" s="12">
        <f>IF($A130="","",F130+G130)</f>
        <v/>
      </c>
      <c r="N130" s="11">
        <f>IF($A130="","",IFERROR(I130/H130-1,0))</f>
        <v/>
      </c>
    </row>
    <row r="131" ht="22" customHeight="1">
      <c r="A131" s="9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3">
        <f>IF($A131="","",IFERROR(D131/B131,0))</f>
        <v/>
      </c>
      <c r="K131" s="13">
        <f>IF($A131="","",IFERROR(I131/B131,0))</f>
        <v/>
      </c>
      <c r="L131" s="11">
        <f>IF($A131="","",IFERROR(C131/E131,0))</f>
        <v/>
      </c>
      <c r="M131" s="12">
        <f>IF($A131="","",F131+G131)</f>
        <v/>
      </c>
      <c r="N131" s="11">
        <f>IF($A131="","",IFERROR(I131/H131-1,0))</f>
        <v/>
      </c>
    </row>
    <row r="132" ht="22" customHeight="1">
      <c r="A132" s="9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3">
        <f>IF($A132="","",IFERROR(D132/B132,0))</f>
        <v/>
      </c>
      <c r="K132" s="13">
        <f>IF($A132="","",IFERROR(I132/B132,0))</f>
        <v/>
      </c>
      <c r="L132" s="11">
        <f>IF($A132="","",IFERROR(C132/E132,0))</f>
        <v/>
      </c>
      <c r="M132" s="12">
        <f>IF($A132="","",F132+G132)</f>
        <v/>
      </c>
      <c r="N132" s="11">
        <f>IF($A132="","",IFERROR(I132/H132-1,0))</f>
        <v/>
      </c>
    </row>
    <row r="133" ht="22" customHeight="1">
      <c r="A133" s="9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3">
        <f>IF($A133="","",IFERROR(D133/B133,0))</f>
        <v/>
      </c>
      <c r="K133" s="13">
        <f>IF($A133="","",IFERROR(I133/B133,0))</f>
        <v/>
      </c>
      <c r="L133" s="11">
        <f>IF($A133="","",IFERROR(C133/E133,0))</f>
        <v/>
      </c>
      <c r="M133" s="12">
        <f>IF($A133="","",F133+G133)</f>
        <v/>
      </c>
      <c r="N133" s="11">
        <f>IF($A133="","",IFERROR(I133/H133-1,0))</f>
        <v/>
      </c>
    </row>
    <row r="134" ht="22" customHeight="1">
      <c r="A134" s="9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3">
        <f>IF($A134="","",IFERROR(D134/B134,0))</f>
        <v/>
      </c>
      <c r="K134" s="13">
        <f>IF($A134="","",IFERROR(I134/B134,0))</f>
        <v/>
      </c>
      <c r="L134" s="11">
        <f>IF($A134="","",IFERROR(C134/E134,0))</f>
        <v/>
      </c>
      <c r="M134" s="12">
        <f>IF($A134="","",F134+G134)</f>
        <v/>
      </c>
      <c r="N134" s="11">
        <f>IF($A134="","",IFERROR(I134/H134-1,0))</f>
        <v/>
      </c>
    </row>
    <row r="135" ht="22" customHeight="1">
      <c r="A135" s="9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3">
        <f>IF($A135="","",IFERROR(D135/B135,0))</f>
        <v/>
      </c>
      <c r="K135" s="13">
        <f>IF($A135="","",IFERROR(I135/B135,0))</f>
        <v/>
      </c>
      <c r="L135" s="11">
        <f>IF($A135="","",IFERROR(C135/E135,0))</f>
        <v/>
      </c>
      <c r="M135" s="12">
        <f>IF($A135="","",F135+G135)</f>
        <v/>
      </c>
      <c r="N135" s="11">
        <f>IF($A135="","",IFERROR(I135/H135-1,0))</f>
        <v/>
      </c>
    </row>
    <row r="136" ht="22" customHeight="1">
      <c r="A136" s="9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3">
        <f>IF($A136="","",IFERROR(D136/B136,0))</f>
        <v/>
      </c>
      <c r="K136" s="13">
        <f>IF($A136="","",IFERROR(I136/B136,0))</f>
        <v/>
      </c>
      <c r="L136" s="11">
        <f>IF($A136="","",IFERROR(C136/E136,0))</f>
        <v/>
      </c>
      <c r="M136" s="12">
        <f>IF($A136="","",F136+G136)</f>
        <v/>
      </c>
      <c r="N136" s="11">
        <f>IF($A136="","",IFERROR(I136/H136-1,0))</f>
        <v/>
      </c>
    </row>
    <row r="137" ht="22" customHeight="1">
      <c r="A137" s="9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3">
        <f>IF($A137="","",IFERROR(D137/B137,0))</f>
        <v/>
      </c>
      <c r="K137" s="13">
        <f>IF($A137="","",IFERROR(I137/B137,0))</f>
        <v/>
      </c>
      <c r="L137" s="11">
        <f>IF($A137="","",IFERROR(C137/E137,0))</f>
        <v/>
      </c>
      <c r="M137" s="12">
        <f>IF($A137="","",F137+G137)</f>
        <v/>
      </c>
      <c r="N137" s="11">
        <f>IF($A137="","",IFERROR(I137/H137-1,0))</f>
        <v/>
      </c>
    </row>
    <row r="138" ht="22" customHeight="1">
      <c r="A138" s="9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3">
        <f>IF($A138="","",IFERROR(D138/B138,0))</f>
        <v/>
      </c>
      <c r="K138" s="13">
        <f>IF($A138="","",IFERROR(I138/B138,0))</f>
        <v/>
      </c>
      <c r="L138" s="11">
        <f>IF($A138="","",IFERROR(C138/E138,0))</f>
        <v/>
      </c>
      <c r="M138" s="12">
        <f>IF($A138="","",F138+G138)</f>
        <v/>
      </c>
      <c r="N138" s="11">
        <f>IF($A138="","",IFERROR(I138/H138-1,0))</f>
        <v/>
      </c>
    </row>
    <row r="139" ht="22" customHeight="1">
      <c r="A139" s="9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3">
        <f>IF($A139="","",IFERROR(D139/B139,0))</f>
        <v/>
      </c>
      <c r="K139" s="13">
        <f>IF($A139="","",IFERROR(I139/B139,0))</f>
        <v/>
      </c>
      <c r="L139" s="11">
        <f>IF($A139="","",IFERROR(C139/E139,0))</f>
        <v/>
      </c>
      <c r="M139" s="12">
        <f>IF($A139="","",F139+G139)</f>
        <v/>
      </c>
      <c r="N139" s="11">
        <f>IF($A139="","",IFERROR(I139/H139-1,0))</f>
        <v/>
      </c>
    </row>
    <row r="140" ht="22" customHeight="1">
      <c r="A140" s="9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3">
        <f>IF($A140="","",IFERROR(D140/B140,0))</f>
        <v/>
      </c>
      <c r="K140" s="13">
        <f>IF($A140="","",IFERROR(I140/B140,0))</f>
        <v/>
      </c>
      <c r="L140" s="11">
        <f>IF($A140="","",IFERROR(C140/E140,0))</f>
        <v/>
      </c>
      <c r="M140" s="12">
        <f>IF($A140="","",F140+G140)</f>
        <v/>
      </c>
      <c r="N140" s="11">
        <f>IF($A140="","",IFERROR(I140/H140-1,0))</f>
        <v/>
      </c>
    </row>
    <row r="141" ht="22" customHeight="1">
      <c r="A141" s="9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3">
        <f>IF($A141="","",IFERROR(D141/B141,0))</f>
        <v/>
      </c>
      <c r="K141" s="13">
        <f>IF($A141="","",IFERROR(I141/B141,0))</f>
        <v/>
      </c>
      <c r="L141" s="11">
        <f>IF($A141="","",IFERROR(C141/E141,0))</f>
        <v/>
      </c>
      <c r="M141" s="12">
        <f>IF($A141="","",F141+G141)</f>
        <v/>
      </c>
      <c r="N141" s="11">
        <f>IF($A141="","",IFERROR(I141/H141-1,0))</f>
        <v/>
      </c>
    </row>
    <row r="142" ht="22" customHeight="1">
      <c r="A142" s="9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3">
        <f>IF($A142="","",IFERROR(D142/B142,0))</f>
        <v/>
      </c>
      <c r="K142" s="13">
        <f>IF($A142="","",IFERROR(I142/B142,0))</f>
        <v/>
      </c>
      <c r="L142" s="11">
        <f>IF($A142="","",IFERROR(C142/E142,0))</f>
        <v/>
      </c>
      <c r="M142" s="12">
        <f>IF($A142="","",F142+G142)</f>
        <v/>
      </c>
      <c r="N142" s="11">
        <f>IF($A142="","",IFERROR(I142/H142-1,0))</f>
        <v/>
      </c>
    </row>
    <row r="143" ht="22" customHeight="1">
      <c r="A143" s="9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3">
        <f>IF($A143="","",IFERROR(D143/B143,0))</f>
        <v/>
      </c>
      <c r="K143" s="13">
        <f>IF($A143="","",IFERROR(I143/B143,0))</f>
        <v/>
      </c>
      <c r="L143" s="11">
        <f>IF($A143="","",IFERROR(C143/E143,0))</f>
        <v/>
      </c>
      <c r="M143" s="12">
        <f>IF($A143="","",F143+G143)</f>
        <v/>
      </c>
      <c r="N143" s="11">
        <f>IF($A143="","",IFERROR(I143/H143-1,0))</f>
        <v/>
      </c>
    </row>
    <row r="144" ht="22" customHeight="1">
      <c r="A144" s="9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3">
        <f>IF($A144="","",IFERROR(D144/B144,0))</f>
        <v/>
      </c>
      <c r="K144" s="13">
        <f>IF($A144="","",IFERROR(I144/B144,0))</f>
        <v/>
      </c>
      <c r="L144" s="11">
        <f>IF($A144="","",IFERROR(C144/E144,0))</f>
        <v/>
      </c>
      <c r="M144" s="12">
        <f>IF($A144="","",F144+G144)</f>
        <v/>
      </c>
      <c r="N144" s="11">
        <f>IF($A144="","",IFERROR(I144/H144-1,0))</f>
        <v/>
      </c>
    </row>
    <row r="145" ht="22" customHeight="1">
      <c r="A145" s="9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3">
        <f>IF($A145="","",IFERROR(D145/B145,0))</f>
        <v/>
      </c>
      <c r="K145" s="13">
        <f>IF($A145="","",IFERROR(I145/B145,0))</f>
        <v/>
      </c>
      <c r="L145" s="11">
        <f>IF($A145="","",IFERROR(C145/E145,0))</f>
        <v/>
      </c>
      <c r="M145" s="12">
        <f>IF($A145="","",F145+G145)</f>
        <v/>
      </c>
      <c r="N145" s="11">
        <f>IF($A145="","",IFERROR(I145/H145-1,0))</f>
        <v/>
      </c>
    </row>
    <row r="146" ht="22" customHeight="1">
      <c r="A146" s="9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3">
        <f>IF($A146="","",IFERROR(D146/B146,0))</f>
        <v/>
      </c>
      <c r="K146" s="13">
        <f>IF($A146="","",IFERROR(I146/B146,0))</f>
        <v/>
      </c>
      <c r="L146" s="11">
        <f>IF($A146="","",IFERROR(C146/E146,0))</f>
        <v/>
      </c>
      <c r="M146" s="12">
        <f>IF($A146="","",F146+G146)</f>
        <v/>
      </c>
      <c r="N146" s="11">
        <f>IF($A146="","",IFERROR(I146/H146-1,0))</f>
        <v/>
      </c>
    </row>
    <row r="147" ht="22" customHeight="1">
      <c r="A147" s="9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3">
        <f>IF($A147="","",IFERROR(D147/B147,0))</f>
        <v/>
      </c>
      <c r="K147" s="13">
        <f>IF($A147="","",IFERROR(I147/B147,0))</f>
        <v/>
      </c>
      <c r="L147" s="11">
        <f>IF($A147="","",IFERROR(C147/E147,0))</f>
        <v/>
      </c>
      <c r="M147" s="12">
        <f>IF($A147="","",F147+G147)</f>
        <v/>
      </c>
      <c r="N147" s="11">
        <f>IF($A147="","",IFERROR(I147/H147-1,0))</f>
        <v/>
      </c>
    </row>
    <row r="148" ht="22" customHeight="1">
      <c r="A148" s="9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3">
        <f>IF($A148="","",IFERROR(D148/B148,0))</f>
        <v/>
      </c>
      <c r="K148" s="13">
        <f>IF($A148="","",IFERROR(I148/B148,0))</f>
        <v/>
      </c>
      <c r="L148" s="11">
        <f>IF($A148="","",IFERROR(C148/E148,0))</f>
        <v/>
      </c>
      <c r="M148" s="12">
        <f>IF($A148="","",F148+G148)</f>
        <v/>
      </c>
      <c r="N148" s="11">
        <f>IF($A148="","",IFERROR(I148/H148-1,0))</f>
        <v/>
      </c>
    </row>
    <row r="149" ht="22" customHeight="1">
      <c r="A149" s="9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3">
        <f>IF($A149="","",IFERROR(D149/B149,0))</f>
        <v/>
      </c>
      <c r="K149" s="13">
        <f>IF($A149="","",IFERROR(I149/B149,0))</f>
        <v/>
      </c>
      <c r="L149" s="11">
        <f>IF($A149="","",IFERROR(C149/E149,0))</f>
        <v/>
      </c>
      <c r="M149" s="12">
        <f>IF($A149="","",F149+G149)</f>
        <v/>
      </c>
      <c r="N149" s="11">
        <f>IF($A149="","",IFERROR(I149/H149-1,0))</f>
        <v/>
      </c>
    </row>
    <row r="150" ht="22" customHeight="1">
      <c r="A150" s="9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3">
        <f>IF($A150="","",IFERROR(D150/B150,0))</f>
        <v/>
      </c>
      <c r="K150" s="13">
        <f>IF($A150="","",IFERROR(I150/B150,0))</f>
        <v/>
      </c>
      <c r="L150" s="11">
        <f>IF($A150="","",IFERROR(C150/E150,0))</f>
        <v/>
      </c>
      <c r="M150" s="12">
        <f>IF($A150="","",F150+G150)</f>
        <v/>
      </c>
      <c r="N150" s="11">
        <f>IF($A150="","",IFERROR(I150/H150-1,0))</f>
        <v/>
      </c>
    </row>
    <row r="151" ht="22" customHeight="1">
      <c r="A151" s="9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3">
        <f>IF($A151="","",IFERROR(D151/B151,0))</f>
        <v/>
      </c>
      <c r="K151" s="13">
        <f>IF($A151="","",IFERROR(I151/B151,0))</f>
        <v/>
      </c>
      <c r="L151" s="11">
        <f>IF($A151="","",IFERROR(C151/E151,0))</f>
        <v/>
      </c>
      <c r="M151" s="12">
        <f>IF($A151="","",F151+G151)</f>
        <v/>
      </c>
      <c r="N151" s="11">
        <f>IF($A151="","",IFERROR(I151/H151-1,0))</f>
        <v/>
      </c>
    </row>
    <row r="152" ht="22" customHeight="1">
      <c r="A152" s="9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3">
        <f>IF($A152="","",IFERROR(D152/B152,0))</f>
        <v/>
      </c>
      <c r="K152" s="13">
        <f>IF($A152="","",IFERROR(I152/B152,0))</f>
        <v/>
      </c>
      <c r="L152" s="11">
        <f>IF($A152="","",IFERROR(C152/E152,0))</f>
        <v/>
      </c>
      <c r="M152" s="12">
        <f>IF($A152="","",F152+G152)</f>
        <v/>
      </c>
      <c r="N152" s="11">
        <f>IF($A152="","",IFERROR(I152/H152-1,0))</f>
        <v/>
      </c>
    </row>
    <row r="153" ht="22" customHeight="1">
      <c r="A153" s="9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3">
        <f>IF($A153="","",IFERROR(D153/B153,0))</f>
        <v/>
      </c>
      <c r="K153" s="13">
        <f>IF($A153="","",IFERROR(I153/B153,0))</f>
        <v/>
      </c>
      <c r="L153" s="11">
        <f>IF($A153="","",IFERROR(C153/E153,0))</f>
        <v/>
      </c>
      <c r="M153" s="12">
        <f>IF($A153="","",F153+G153)</f>
        <v/>
      </c>
      <c r="N153" s="11">
        <f>IF($A153="","",IFERROR(I153/H153-1,0))</f>
        <v/>
      </c>
    </row>
    <row r="154" ht="22" customHeight="1">
      <c r="A154" s="9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3">
        <f>IF($A154="","",IFERROR(D154/B154,0))</f>
        <v/>
      </c>
      <c r="K154" s="13">
        <f>IF($A154="","",IFERROR(I154/B154,0))</f>
        <v/>
      </c>
      <c r="L154" s="11">
        <f>IF($A154="","",IFERROR(C154/E154,0))</f>
        <v/>
      </c>
      <c r="M154" s="12">
        <f>IF($A154="","",F154+G154)</f>
        <v/>
      </c>
      <c r="N154" s="11">
        <f>IF($A154="","",IFERROR(I154/H154-1,0))</f>
        <v/>
      </c>
    </row>
    <row r="155" ht="22" customHeight="1">
      <c r="A155" s="9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3">
        <f>IF($A155="","",IFERROR(D155/B155,0))</f>
        <v/>
      </c>
      <c r="K155" s="13">
        <f>IF($A155="","",IFERROR(I155/B155,0))</f>
        <v/>
      </c>
      <c r="L155" s="11">
        <f>IF($A155="","",IFERROR(C155/E155,0))</f>
        <v/>
      </c>
      <c r="M155" s="12">
        <f>IF($A155="","",F155+G155)</f>
        <v/>
      </c>
      <c r="N155" s="11">
        <f>IF($A155="","",IFERROR(I155/H155-1,0))</f>
        <v/>
      </c>
    </row>
    <row r="156" ht="22" customHeight="1">
      <c r="A156" s="9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3">
        <f>IF($A156="","",IFERROR(D156/B156,0))</f>
        <v/>
      </c>
      <c r="K156" s="13">
        <f>IF($A156="","",IFERROR(I156/B156,0))</f>
        <v/>
      </c>
      <c r="L156" s="11">
        <f>IF($A156="","",IFERROR(C156/E156,0))</f>
        <v/>
      </c>
      <c r="M156" s="12">
        <f>IF($A156="","",F156+G156)</f>
        <v/>
      </c>
      <c r="N156" s="11">
        <f>IF($A156="","",IFERROR(I156/H156-1,0))</f>
        <v/>
      </c>
    </row>
    <row r="157" ht="22" customHeight="1">
      <c r="A157" s="9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3">
        <f>IF($A157="","",IFERROR(D157/B157,0))</f>
        <v/>
      </c>
      <c r="K157" s="13">
        <f>IF($A157="","",IFERROR(I157/B157,0))</f>
        <v/>
      </c>
      <c r="L157" s="11">
        <f>IF($A157="","",IFERROR(C157/E157,0))</f>
        <v/>
      </c>
      <c r="M157" s="12">
        <f>IF($A157="","",F157+G157)</f>
        <v/>
      </c>
      <c r="N157" s="11">
        <f>IF($A157="","",IFERROR(I157/H157-1,0))</f>
        <v/>
      </c>
    </row>
    <row r="158" ht="22" customHeight="1">
      <c r="A158" s="9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3">
        <f>IF($A158="","",IFERROR(D158/B158,0))</f>
        <v/>
      </c>
      <c r="K158" s="13">
        <f>IF($A158="","",IFERROR(I158/B158,0))</f>
        <v/>
      </c>
      <c r="L158" s="11">
        <f>IF($A158="","",IFERROR(C158/E158,0))</f>
        <v/>
      </c>
      <c r="M158" s="12">
        <f>IF($A158="","",F158+G158)</f>
        <v/>
      </c>
      <c r="N158" s="11">
        <f>IF($A158="","",IFERROR(I158/H158-1,0))</f>
        <v/>
      </c>
    </row>
    <row r="159" ht="22" customHeight="1">
      <c r="A159" s="9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3">
        <f>IF($A159="","",IFERROR(D159/B159,0))</f>
        <v/>
      </c>
      <c r="K159" s="13">
        <f>IF($A159="","",IFERROR(I159/B159,0))</f>
        <v/>
      </c>
      <c r="L159" s="11">
        <f>IF($A159="","",IFERROR(C159/E159,0))</f>
        <v/>
      </c>
      <c r="M159" s="12">
        <f>IF($A159="","",F159+G159)</f>
        <v/>
      </c>
      <c r="N159" s="11">
        <f>IF($A159="","",IFERROR(I159/H159-1,0))</f>
        <v/>
      </c>
    </row>
    <row r="160" ht="22" customHeight="1">
      <c r="A160" s="9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3">
        <f>IF($A160="","",IFERROR(D160/B160,0))</f>
        <v/>
      </c>
      <c r="K160" s="13">
        <f>IF($A160="","",IFERROR(I160/B160,0))</f>
        <v/>
      </c>
      <c r="L160" s="11">
        <f>IF($A160="","",IFERROR(C160/E160,0))</f>
        <v/>
      </c>
      <c r="M160" s="12">
        <f>IF($A160="","",F160+G160)</f>
        <v/>
      </c>
      <c r="N160" s="11">
        <f>IF($A160="","",IFERROR(I160/H160-1,0))</f>
        <v/>
      </c>
    </row>
    <row r="161" ht="22" customHeight="1">
      <c r="A161" s="9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3">
        <f>IF($A161="","",IFERROR(D161/B161,0))</f>
        <v/>
      </c>
      <c r="K161" s="13">
        <f>IF($A161="","",IFERROR(I161/B161,0))</f>
        <v/>
      </c>
      <c r="L161" s="11">
        <f>IF($A161="","",IFERROR(C161/E161,0))</f>
        <v/>
      </c>
      <c r="M161" s="12">
        <f>IF($A161="","",F161+G161)</f>
        <v/>
      </c>
      <c r="N161" s="11">
        <f>IF($A161="","",IFERROR(I161/H161-1,0))</f>
        <v/>
      </c>
    </row>
    <row r="162" ht="22" customHeight="1">
      <c r="A162" s="9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3">
        <f>IF($A162="","",IFERROR(D162/B162,0))</f>
        <v/>
      </c>
      <c r="K162" s="13">
        <f>IF($A162="","",IFERROR(I162/B162,0))</f>
        <v/>
      </c>
      <c r="L162" s="11">
        <f>IF($A162="","",IFERROR(C162/E162,0))</f>
        <v/>
      </c>
      <c r="M162" s="12">
        <f>IF($A162="","",F162+G162)</f>
        <v/>
      </c>
      <c r="N162" s="11">
        <f>IF($A162="","",IFERROR(I162/H162-1,0))</f>
        <v/>
      </c>
    </row>
    <row r="163" ht="22" customHeight="1">
      <c r="A163" s="9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3">
        <f>IF($A163="","",IFERROR(D163/B163,0))</f>
        <v/>
      </c>
      <c r="K163" s="13">
        <f>IF($A163="","",IFERROR(I163/B163,0))</f>
        <v/>
      </c>
      <c r="L163" s="11">
        <f>IF($A163="","",IFERROR(C163/E163,0))</f>
        <v/>
      </c>
      <c r="M163" s="12">
        <f>IF($A163="","",F163+G163)</f>
        <v/>
      </c>
      <c r="N163" s="11">
        <f>IF($A163="","",IFERROR(I163/H163-1,0))</f>
        <v/>
      </c>
    </row>
    <row r="164" ht="22" customHeight="1">
      <c r="A164" s="9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3">
        <f>IF($A164="","",IFERROR(D164/B164,0))</f>
        <v/>
      </c>
      <c r="K164" s="13">
        <f>IF($A164="","",IFERROR(I164/B164,0))</f>
        <v/>
      </c>
      <c r="L164" s="11">
        <f>IF($A164="","",IFERROR(C164/E164,0))</f>
        <v/>
      </c>
      <c r="M164" s="12">
        <f>IF($A164="","",F164+G164)</f>
        <v/>
      </c>
      <c r="N164" s="11">
        <f>IF($A164="","",IFERROR(I164/H164-1,0))</f>
        <v/>
      </c>
    </row>
    <row r="165" ht="22" customHeight="1">
      <c r="A165" s="9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3">
        <f>IF($A165="","",IFERROR(D165/B165,0))</f>
        <v/>
      </c>
      <c r="K165" s="13">
        <f>IF($A165="","",IFERROR(I165/B165,0))</f>
        <v/>
      </c>
      <c r="L165" s="11">
        <f>IF($A165="","",IFERROR(C165/E165,0))</f>
        <v/>
      </c>
      <c r="M165" s="12">
        <f>IF($A165="","",F165+G165)</f>
        <v/>
      </c>
      <c r="N165" s="11">
        <f>IF($A165="","",IFERROR(I165/H165-1,0))</f>
        <v/>
      </c>
    </row>
    <row r="166" ht="22" customHeight="1">
      <c r="A166" s="9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3">
        <f>IF($A166="","",IFERROR(D166/B166,0))</f>
        <v/>
      </c>
      <c r="K166" s="13">
        <f>IF($A166="","",IFERROR(I166/B166,0))</f>
        <v/>
      </c>
      <c r="L166" s="11">
        <f>IF($A166="","",IFERROR(C166/E166,0))</f>
        <v/>
      </c>
      <c r="M166" s="12">
        <f>IF($A166="","",F166+G166)</f>
        <v/>
      </c>
      <c r="N166" s="11">
        <f>IF($A166="","",IFERROR(I166/H166-1,0))</f>
        <v/>
      </c>
    </row>
    <row r="167" ht="22" customHeight="1">
      <c r="A167" s="9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3">
        <f>IF($A167="","",IFERROR(D167/B167,0))</f>
        <v/>
      </c>
      <c r="K167" s="13">
        <f>IF($A167="","",IFERROR(I167/B167,0))</f>
        <v/>
      </c>
      <c r="L167" s="11">
        <f>IF($A167="","",IFERROR(C167/E167,0))</f>
        <v/>
      </c>
      <c r="M167" s="12">
        <f>IF($A167="","",F167+G167)</f>
        <v/>
      </c>
      <c r="N167" s="11">
        <f>IF($A167="","",IFERROR(I167/H167-1,0))</f>
        <v/>
      </c>
    </row>
    <row r="168" ht="22" customHeight="1">
      <c r="A168" s="9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3">
        <f>IF($A168="","",IFERROR(D168/B168,0))</f>
        <v/>
      </c>
      <c r="K168" s="13">
        <f>IF($A168="","",IFERROR(I168/B168,0))</f>
        <v/>
      </c>
      <c r="L168" s="11">
        <f>IF($A168="","",IFERROR(C168/E168,0))</f>
        <v/>
      </c>
      <c r="M168" s="12">
        <f>IF($A168="","",F168+G168)</f>
        <v/>
      </c>
      <c r="N168" s="11">
        <f>IF($A168="","",IFERROR(I168/H168-1,0))</f>
        <v/>
      </c>
    </row>
    <row r="169" ht="22" customHeight="1">
      <c r="A169" s="9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3">
        <f>IF($A169="","",IFERROR(D169/B169,0))</f>
        <v/>
      </c>
      <c r="K169" s="13">
        <f>IF($A169="","",IFERROR(I169/B169,0))</f>
        <v/>
      </c>
      <c r="L169" s="11">
        <f>IF($A169="","",IFERROR(C169/E169,0))</f>
        <v/>
      </c>
      <c r="M169" s="12">
        <f>IF($A169="","",F169+G169)</f>
        <v/>
      </c>
      <c r="N169" s="11">
        <f>IF($A169="","",IFERROR(I169/H169-1,0))</f>
        <v/>
      </c>
    </row>
    <row r="170" ht="22" customHeight="1">
      <c r="A170" s="9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3">
        <f>IF($A170="","",IFERROR(D170/B170,0))</f>
        <v/>
      </c>
      <c r="K170" s="13">
        <f>IF($A170="","",IFERROR(I170/B170,0))</f>
        <v/>
      </c>
      <c r="L170" s="11">
        <f>IF($A170="","",IFERROR(C170/E170,0))</f>
        <v/>
      </c>
      <c r="M170" s="12">
        <f>IF($A170="","",F170+G170)</f>
        <v/>
      </c>
      <c r="N170" s="11">
        <f>IF($A170="","",IFERROR(I170/H170-1,0))</f>
        <v/>
      </c>
    </row>
    <row r="171" ht="22" customHeight="1">
      <c r="A171" s="9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3">
        <f>IF($A171="","",IFERROR(D171/B171,0))</f>
        <v/>
      </c>
      <c r="K171" s="13">
        <f>IF($A171="","",IFERROR(I171/B171,0))</f>
        <v/>
      </c>
      <c r="L171" s="11">
        <f>IF($A171="","",IFERROR(C171/E171,0))</f>
        <v/>
      </c>
      <c r="M171" s="12">
        <f>IF($A171="","",F171+G171)</f>
        <v/>
      </c>
      <c r="N171" s="11">
        <f>IF($A171="","",IFERROR(I171/H171-1,0))</f>
        <v/>
      </c>
    </row>
    <row r="172" ht="22" customHeight="1">
      <c r="A172" s="9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3">
        <f>IF($A172="","",IFERROR(D172/B172,0))</f>
        <v/>
      </c>
      <c r="K172" s="13">
        <f>IF($A172="","",IFERROR(I172/B172,0))</f>
        <v/>
      </c>
      <c r="L172" s="11">
        <f>IF($A172="","",IFERROR(C172/E172,0))</f>
        <v/>
      </c>
      <c r="M172" s="12">
        <f>IF($A172="","",F172+G172)</f>
        <v/>
      </c>
      <c r="N172" s="11">
        <f>IF($A172="","",IFERROR(I172/H172-1,0))</f>
        <v/>
      </c>
    </row>
    <row r="173" ht="22" customHeight="1">
      <c r="A173" s="9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3">
        <f>IF($A173="","",IFERROR(D173/B173,0))</f>
        <v/>
      </c>
      <c r="K173" s="13">
        <f>IF($A173="","",IFERROR(I173/B173,0))</f>
        <v/>
      </c>
      <c r="L173" s="11">
        <f>IF($A173="","",IFERROR(C173/E173,0))</f>
        <v/>
      </c>
      <c r="M173" s="12">
        <f>IF($A173="","",F173+G173)</f>
        <v/>
      </c>
      <c r="N173" s="11">
        <f>IF($A173="","",IFERROR(I173/H173-1,0))</f>
        <v/>
      </c>
    </row>
    <row r="174" ht="22" customHeight="1">
      <c r="A174" s="9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3">
        <f>IF($A174="","",IFERROR(D174/B174,0))</f>
        <v/>
      </c>
      <c r="K174" s="13">
        <f>IF($A174="","",IFERROR(I174/B174,0))</f>
        <v/>
      </c>
      <c r="L174" s="11">
        <f>IF($A174="","",IFERROR(C174/E174,0))</f>
        <v/>
      </c>
      <c r="M174" s="12">
        <f>IF($A174="","",F174+G174)</f>
        <v/>
      </c>
      <c r="N174" s="11">
        <f>IF($A174="","",IFERROR(I174/H174-1,0))</f>
        <v/>
      </c>
    </row>
    <row r="175" ht="22" customHeight="1">
      <c r="A175" s="9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3">
        <f>IF($A175="","",IFERROR(D175/B175,0))</f>
        <v/>
      </c>
      <c r="K175" s="13">
        <f>IF($A175="","",IFERROR(I175/B175,0))</f>
        <v/>
      </c>
      <c r="L175" s="11">
        <f>IF($A175="","",IFERROR(C175/E175,0))</f>
        <v/>
      </c>
      <c r="M175" s="12">
        <f>IF($A175="","",F175+G175)</f>
        <v/>
      </c>
      <c r="N175" s="11">
        <f>IF($A175="","",IFERROR(I175/H175-1,0))</f>
        <v/>
      </c>
    </row>
    <row r="176" ht="22" customHeight="1">
      <c r="A176" s="9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3">
        <f>IF($A176="","",IFERROR(D176/B176,0))</f>
        <v/>
      </c>
      <c r="K176" s="13">
        <f>IF($A176="","",IFERROR(I176/B176,0))</f>
        <v/>
      </c>
      <c r="L176" s="11">
        <f>IF($A176="","",IFERROR(C176/E176,0))</f>
        <v/>
      </c>
      <c r="M176" s="12">
        <f>IF($A176="","",F176+G176)</f>
        <v/>
      </c>
      <c r="N176" s="11">
        <f>IF($A176="","",IFERROR(I176/H176-1,0))</f>
        <v/>
      </c>
    </row>
    <row r="177" ht="22" customHeight="1">
      <c r="A177" s="9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3">
        <f>IF($A177="","",IFERROR(D177/B177,0))</f>
        <v/>
      </c>
      <c r="K177" s="13">
        <f>IF($A177="","",IFERROR(I177/B177,0))</f>
        <v/>
      </c>
      <c r="L177" s="11">
        <f>IF($A177="","",IFERROR(C177/E177,0))</f>
        <v/>
      </c>
      <c r="M177" s="12">
        <f>IF($A177="","",F177+G177)</f>
        <v/>
      </c>
      <c r="N177" s="11">
        <f>IF($A177="","",IFERROR(I177/H177-1,0))</f>
        <v/>
      </c>
    </row>
    <row r="178" ht="22" customHeight="1">
      <c r="A178" s="9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3">
        <f>IF($A178="","",IFERROR(D178/B178,0))</f>
        <v/>
      </c>
      <c r="K178" s="13">
        <f>IF($A178="","",IFERROR(I178/B178,0))</f>
        <v/>
      </c>
      <c r="L178" s="11">
        <f>IF($A178="","",IFERROR(C178/E178,0))</f>
        <v/>
      </c>
      <c r="M178" s="12">
        <f>IF($A178="","",F178+G178)</f>
        <v/>
      </c>
      <c r="N178" s="11">
        <f>IF($A178="","",IFERROR(I178/H178-1,0))</f>
        <v/>
      </c>
    </row>
    <row r="179" ht="22" customHeight="1">
      <c r="A179" s="9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3">
        <f>IF($A179="","",IFERROR(D179/B179,0))</f>
        <v/>
      </c>
      <c r="K179" s="13">
        <f>IF($A179="","",IFERROR(I179/B179,0))</f>
        <v/>
      </c>
      <c r="L179" s="11">
        <f>IF($A179="","",IFERROR(C179/E179,0))</f>
        <v/>
      </c>
      <c r="M179" s="12">
        <f>IF($A179="","",F179+G179)</f>
        <v/>
      </c>
      <c r="N179" s="11">
        <f>IF($A179="","",IFERROR(I179/H179-1,0))</f>
        <v/>
      </c>
    </row>
    <row r="180" ht="22" customHeight="1">
      <c r="A180" s="9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3">
        <f>IF($A180="","",IFERROR(D180/B180,0))</f>
        <v/>
      </c>
      <c r="K180" s="13">
        <f>IF($A180="","",IFERROR(I180/B180,0))</f>
        <v/>
      </c>
      <c r="L180" s="11">
        <f>IF($A180="","",IFERROR(C180/E180,0))</f>
        <v/>
      </c>
      <c r="M180" s="12">
        <f>IF($A180="","",F180+G180)</f>
        <v/>
      </c>
      <c r="N180" s="11">
        <f>IF($A180="","",IFERROR(I180/H180-1,0))</f>
        <v/>
      </c>
    </row>
    <row r="181" ht="22" customHeight="1">
      <c r="A181" s="9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3">
        <f>IF($A181="","",IFERROR(D181/B181,0))</f>
        <v/>
      </c>
      <c r="K181" s="13">
        <f>IF($A181="","",IFERROR(I181/B181,0))</f>
        <v/>
      </c>
      <c r="L181" s="11">
        <f>IF($A181="","",IFERROR(C181/E181,0))</f>
        <v/>
      </c>
      <c r="M181" s="12">
        <f>IF($A181="","",F181+G181)</f>
        <v/>
      </c>
      <c r="N181" s="11">
        <f>IF($A181="","",IFERROR(I181/H181-1,0))</f>
        <v/>
      </c>
    </row>
    <row r="182" ht="22" customHeight="1">
      <c r="A182" s="9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3">
        <f>IF($A182="","",IFERROR(D182/B182,0))</f>
        <v/>
      </c>
      <c r="K182" s="13">
        <f>IF($A182="","",IFERROR(I182/B182,0))</f>
        <v/>
      </c>
      <c r="L182" s="11">
        <f>IF($A182="","",IFERROR(C182/E182,0))</f>
        <v/>
      </c>
      <c r="M182" s="12">
        <f>IF($A182="","",F182+G182)</f>
        <v/>
      </c>
      <c r="N182" s="11">
        <f>IF($A182="","",IFERROR(I182/H182-1,0))</f>
        <v/>
      </c>
    </row>
    <row r="183" ht="22" customHeight="1">
      <c r="A183" s="9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3">
        <f>IF($A183="","",IFERROR(D183/B183,0))</f>
        <v/>
      </c>
      <c r="K183" s="13">
        <f>IF($A183="","",IFERROR(I183/B183,0))</f>
        <v/>
      </c>
      <c r="L183" s="11">
        <f>IF($A183="","",IFERROR(C183/E183,0))</f>
        <v/>
      </c>
      <c r="M183" s="12">
        <f>IF($A183="","",F183+G183)</f>
        <v/>
      </c>
      <c r="N183" s="11">
        <f>IF($A183="","",IFERROR(I183/H183-1,0))</f>
        <v/>
      </c>
    </row>
    <row r="184" ht="22" customHeight="1">
      <c r="A184" s="9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3">
        <f>IF($A184="","",IFERROR(D184/B184,0))</f>
        <v/>
      </c>
      <c r="K184" s="13">
        <f>IF($A184="","",IFERROR(I184/B184,0))</f>
        <v/>
      </c>
      <c r="L184" s="11">
        <f>IF($A184="","",IFERROR(C184/E184,0))</f>
        <v/>
      </c>
      <c r="M184" s="12">
        <f>IF($A184="","",F184+G184)</f>
        <v/>
      </c>
      <c r="N184" s="11">
        <f>IF($A184="","",IFERROR(I184/H184-1,0))</f>
        <v/>
      </c>
    </row>
    <row r="185" ht="22" customHeight="1">
      <c r="A185" s="9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3">
        <f>IF($A185="","",IFERROR(D185/B185,0))</f>
        <v/>
      </c>
      <c r="K185" s="13">
        <f>IF($A185="","",IFERROR(I185/B185,0))</f>
        <v/>
      </c>
      <c r="L185" s="11">
        <f>IF($A185="","",IFERROR(C185/E185,0))</f>
        <v/>
      </c>
      <c r="M185" s="12">
        <f>IF($A185="","",F185+G185)</f>
        <v/>
      </c>
      <c r="N185" s="11">
        <f>IF($A185="","",IFERROR(I185/H185-1,0))</f>
        <v/>
      </c>
    </row>
    <row r="186" ht="22" customHeight="1">
      <c r="A186" s="9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3">
        <f>IF($A186="","",IFERROR(D186/B186,0))</f>
        <v/>
      </c>
      <c r="K186" s="13">
        <f>IF($A186="","",IFERROR(I186/B186,0))</f>
        <v/>
      </c>
      <c r="L186" s="11">
        <f>IF($A186="","",IFERROR(C186/E186,0))</f>
        <v/>
      </c>
      <c r="M186" s="12">
        <f>IF($A186="","",F186+G186)</f>
        <v/>
      </c>
      <c r="N186" s="11">
        <f>IF($A186="","",IFERROR(I186/H186-1,0))</f>
        <v/>
      </c>
    </row>
    <row r="187" ht="22" customHeight="1">
      <c r="A187" s="9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3">
        <f>IF($A187="","",IFERROR(D187/B187,0))</f>
        <v/>
      </c>
      <c r="K187" s="13">
        <f>IF($A187="","",IFERROR(I187/B187,0))</f>
        <v/>
      </c>
      <c r="L187" s="11">
        <f>IF($A187="","",IFERROR(C187/E187,0))</f>
        <v/>
      </c>
      <c r="M187" s="12">
        <f>IF($A187="","",F187+G187)</f>
        <v/>
      </c>
      <c r="N187" s="11">
        <f>IF($A187="","",IFERROR(I187/H187-1,0))</f>
        <v/>
      </c>
    </row>
    <row r="188" ht="22" customHeight="1">
      <c r="A188" s="9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3">
        <f>IF($A188="","",IFERROR(D188/B188,0))</f>
        <v/>
      </c>
      <c r="K188" s="13">
        <f>IF($A188="","",IFERROR(I188/B188,0))</f>
        <v/>
      </c>
      <c r="L188" s="11">
        <f>IF($A188="","",IFERROR(C188/E188,0))</f>
        <v/>
      </c>
      <c r="M188" s="12">
        <f>IF($A188="","",F188+G188)</f>
        <v/>
      </c>
      <c r="N188" s="11">
        <f>IF($A188="","",IFERROR(I188/H188-1,0))</f>
        <v/>
      </c>
    </row>
    <row r="189" ht="22" customHeight="1">
      <c r="A189" s="9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3">
        <f>IF($A189="","",IFERROR(D189/B189,0))</f>
        <v/>
      </c>
      <c r="K189" s="13">
        <f>IF($A189="","",IFERROR(I189/B189,0))</f>
        <v/>
      </c>
      <c r="L189" s="11">
        <f>IF($A189="","",IFERROR(C189/E189,0))</f>
        <v/>
      </c>
      <c r="M189" s="12">
        <f>IF($A189="","",F189+G189)</f>
        <v/>
      </c>
      <c r="N189" s="11">
        <f>IF($A189="","",IFERROR(I189/H189-1,0))</f>
        <v/>
      </c>
    </row>
    <row r="190" ht="22" customHeight="1">
      <c r="A190" s="9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3">
        <f>IF($A190="","",IFERROR(D190/B190,0))</f>
        <v/>
      </c>
      <c r="K190" s="13">
        <f>IF($A190="","",IFERROR(I190/B190,0))</f>
        <v/>
      </c>
      <c r="L190" s="11">
        <f>IF($A190="","",IFERROR(C190/E190,0))</f>
        <v/>
      </c>
      <c r="M190" s="12">
        <f>IF($A190="","",F190+G190)</f>
        <v/>
      </c>
      <c r="N190" s="11">
        <f>IF($A190="","",IFERROR(I190/H190-1,0))</f>
        <v/>
      </c>
    </row>
    <row r="191" ht="22" customHeight="1">
      <c r="A191" s="9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3">
        <f>IF($A191="","",IFERROR(D191/B191,0))</f>
        <v/>
      </c>
      <c r="K191" s="13">
        <f>IF($A191="","",IFERROR(I191/B191,0))</f>
        <v/>
      </c>
      <c r="L191" s="11">
        <f>IF($A191="","",IFERROR(C191/E191,0))</f>
        <v/>
      </c>
      <c r="M191" s="12">
        <f>IF($A191="","",F191+G191)</f>
        <v/>
      </c>
      <c r="N191" s="11">
        <f>IF($A191="","",IFERROR(I191/H191-1,0))</f>
        <v/>
      </c>
    </row>
    <row r="192" ht="22" customHeight="1">
      <c r="A192" s="9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3">
        <f>IF($A192="","",IFERROR(D192/B192,0))</f>
        <v/>
      </c>
      <c r="K192" s="13">
        <f>IF($A192="","",IFERROR(I192/B192,0))</f>
        <v/>
      </c>
      <c r="L192" s="11">
        <f>IF($A192="","",IFERROR(C192/E192,0))</f>
        <v/>
      </c>
      <c r="M192" s="12">
        <f>IF($A192="","",F192+G192)</f>
        <v/>
      </c>
      <c r="N192" s="11">
        <f>IF($A192="","",IFERROR(I192/H192-1,0))</f>
        <v/>
      </c>
    </row>
    <row r="193" ht="22" customHeight="1">
      <c r="A193" s="9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3">
        <f>IF($A193="","",IFERROR(D193/B193,0))</f>
        <v/>
      </c>
      <c r="K193" s="13">
        <f>IF($A193="","",IFERROR(I193/B193,0))</f>
        <v/>
      </c>
      <c r="L193" s="11">
        <f>IF($A193="","",IFERROR(C193/E193,0))</f>
        <v/>
      </c>
      <c r="M193" s="12">
        <f>IF($A193="","",F193+G193)</f>
        <v/>
      </c>
      <c r="N193" s="11">
        <f>IF($A193="","",IFERROR(I193/H193-1,0))</f>
        <v/>
      </c>
    </row>
    <row r="194" ht="22" customHeight="1">
      <c r="A194" s="9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3">
        <f>IF($A194="","",IFERROR(D194/B194,0))</f>
        <v/>
      </c>
      <c r="K194" s="13">
        <f>IF($A194="","",IFERROR(I194/B194,0))</f>
        <v/>
      </c>
      <c r="L194" s="11">
        <f>IF($A194="","",IFERROR(C194/E194,0))</f>
        <v/>
      </c>
      <c r="M194" s="12">
        <f>IF($A194="","",F194+G194)</f>
        <v/>
      </c>
      <c r="N194" s="11">
        <f>IF($A194="","",IFERROR(I194/H194-1,0))</f>
        <v/>
      </c>
    </row>
    <row r="195" ht="22" customHeight="1">
      <c r="A195" s="9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3">
        <f>IF($A195="","",IFERROR(D195/B195,0))</f>
        <v/>
      </c>
      <c r="K195" s="13">
        <f>IF($A195="","",IFERROR(I195/B195,0))</f>
        <v/>
      </c>
      <c r="L195" s="11">
        <f>IF($A195="","",IFERROR(C195/E195,0))</f>
        <v/>
      </c>
      <c r="M195" s="12">
        <f>IF($A195="","",F195+G195)</f>
        <v/>
      </c>
      <c r="N195" s="11">
        <f>IF($A195="","",IFERROR(I195/H195-1,0))</f>
        <v/>
      </c>
    </row>
    <row r="196" ht="22" customHeight="1">
      <c r="A196" s="9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3">
        <f>IF($A196="","",IFERROR(D196/B196,0))</f>
        <v/>
      </c>
      <c r="K196" s="13">
        <f>IF($A196="","",IFERROR(I196/B196,0))</f>
        <v/>
      </c>
      <c r="L196" s="11">
        <f>IF($A196="","",IFERROR(C196/E196,0))</f>
        <v/>
      </c>
      <c r="M196" s="12">
        <f>IF($A196="","",F196+G196)</f>
        <v/>
      </c>
      <c r="N196" s="11">
        <f>IF($A196="","",IFERROR(I196/H196-1,0))</f>
        <v/>
      </c>
    </row>
    <row r="197" ht="22" customHeight="1">
      <c r="A197" s="9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3">
        <f>IF($A197="","",IFERROR(D197/B197,0))</f>
        <v/>
      </c>
      <c r="K197" s="13">
        <f>IF($A197="","",IFERROR(I197/B197,0))</f>
        <v/>
      </c>
      <c r="L197" s="11">
        <f>IF($A197="","",IFERROR(C197/E197,0))</f>
        <v/>
      </c>
      <c r="M197" s="12">
        <f>IF($A197="","",F197+G197)</f>
        <v/>
      </c>
      <c r="N197" s="11">
        <f>IF($A197="","",IFERROR(I197/H197-1,0))</f>
        <v/>
      </c>
    </row>
    <row r="198" ht="22" customHeight="1">
      <c r="A198" s="9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3">
        <f>IF($A198="","",IFERROR(D198/B198,0))</f>
        <v/>
      </c>
      <c r="K198" s="13">
        <f>IF($A198="","",IFERROR(I198/B198,0))</f>
        <v/>
      </c>
      <c r="L198" s="11">
        <f>IF($A198="","",IFERROR(C198/E198,0))</f>
        <v/>
      </c>
      <c r="M198" s="12">
        <f>IF($A198="","",F198+G198)</f>
        <v/>
      </c>
      <c r="N198" s="11">
        <f>IF($A198="","",IFERROR(I198/H198-1,0))</f>
        <v/>
      </c>
    </row>
    <row r="199" ht="22" customHeight="1">
      <c r="A199" s="9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3">
        <f>IF($A199="","",IFERROR(D199/B199,0))</f>
        <v/>
      </c>
      <c r="K199" s="13">
        <f>IF($A199="","",IFERROR(I199/B199,0))</f>
        <v/>
      </c>
      <c r="L199" s="11">
        <f>IF($A199="","",IFERROR(C199/E199,0))</f>
        <v/>
      </c>
      <c r="M199" s="12">
        <f>IF($A199="","",F199+G199)</f>
        <v/>
      </c>
      <c r="N199" s="11">
        <f>IF($A199="","",IFERROR(I199/H199-1,0))</f>
        <v/>
      </c>
    </row>
    <row r="200" ht="22" customHeight="1">
      <c r="A200" s="9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3">
        <f>IF($A200="","",IFERROR(D200/B200,0))</f>
        <v/>
      </c>
      <c r="K200" s="13">
        <f>IF($A200="","",IFERROR(I200/B200,0))</f>
        <v/>
      </c>
      <c r="L200" s="11">
        <f>IF($A200="","",IFERROR(C200/E200,0))</f>
        <v/>
      </c>
      <c r="M200" s="12">
        <f>IF($A200="","",F200+G200)</f>
        <v/>
      </c>
      <c r="N200" s="11">
        <f>IF($A200="","",IFERROR(I200/H200-1,0))</f>
        <v/>
      </c>
    </row>
  </sheetData>
  <autoFilter ref="A1:N200"/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D1D5DB"/>
    <outlinePr summaryBelow="1" summaryRight="1"/>
    <pageSetUpPr/>
  </sheetPr>
  <dimension ref="A1:N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18" customWidth="1" min="3" max="3"/>
    <col width="21" customWidth="1" min="4" max="4"/>
    <col width="19" customWidth="1" min="5" max="5"/>
    <col width="21" customWidth="1" min="6" max="6"/>
    <col width="15" customWidth="1" min="7" max="7"/>
    <col width="32" customWidth="1" min="8" max="8"/>
    <col width="32" customWidth="1" min="9" max="9"/>
    <col width="32" customWidth="1" min="10" max="10"/>
    <col width="29" customWidth="1" min="11" max="11"/>
    <col width="21" customWidth="1" min="12" max="12"/>
    <col width="24" customWidth="1" min="13" max="13"/>
    <col width="32" customWidth="1" min="14" max="14"/>
  </cols>
  <sheetData>
    <row r="1" ht="30" customHeight="1">
      <c r="A1" s="7" t="inlineStr">
        <is>
          <t>week_start</t>
        </is>
      </c>
      <c r="B1" s="7" t="inlineStr">
        <is>
          <t>paiements_digitaux</t>
        </is>
      </c>
      <c r="C1" s="7" t="inlineStr">
        <is>
          <t>paiements_totaux</t>
        </is>
      </c>
      <c r="D1" s="8" t="inlineStr">
        <is>
          <t>volume_transactions</t>
        </is>
      </c>
      <c r="E1" s="7" t="inlineStr">
        <is>
          <t>commissions</t>
        </is>
      </c>
      <c r="F1" s="7" t="inlineStr">
        <is>
          <t>utilisateurs_actifs</t>
        </is>
      </c>
      <c r="G1" s="7" t="inlineStr">
        <is>
          <t>transactions</t>
        </is>
      </c>
      <c r="H1" s="8" t="inlineStr">
        <is>
          <t>paiements_digitaux_jour</t>
        </is>
      </c>
      <c r="I1" s="8" t="inlineStr">
        <is>
          <t>taux_digitalisation</t>
        </is>
      </c>
      <c r="J1" s="8" t="inlineStr">
        <is>
          <t>autres_moyens_paiement</t>
        </is>
      </c>
      <c r="K1" s="8" t="inlineStr">
        <is>
          <t>volume_transactions_semaine</t>
        </is>
      </c>
      <c r="L1" s="8" t="inlineStr">
        <is>
          <t>revenus_fintech</t>
        </is>
      </c>
      <c r="M1" s="8" t="inlineStr">
        <is>
          <t>nb_utilisateurs_actifs</t>
        </is>
      </c>
      <c r="N1" s="8" t="inlineStr">
        <is>
          <t>freq_utilisation</t>
        </is>
      </c>
    </row>
    <row r="2" ht="22" customHeight="1">
      <c r="A2" s="9" t="n">
        <v>46027</v>
      </c>
      <c r="B2" s="10" t="n">
        <v>399</v>
      </c>
      <c r="C2" s="10" t="n">
        <v>462</v>
      </c>
      <c r="D2" s="13">
        <f>IF($A2="","",D2)</f>
        <v/>
      </c>
      <c r="E2" s="10" t="n">
        <v>122710.50221085</v>
      </c>
      <c r="F2" s="10" t="n">
        <v>123</v>
      </c>
      <c r="G2" s="10" t="n">
        <v>575</v>
      </c>
      <c r="H2" s="11">
        <f>IF($A2="","",IFERROR(B2/C2,0))</f>
        <v/>
      </c>
      <c r="I2" s="11">
        <f>IF($A2="","",IFERROR(B2/C2,0))</f>
        <v/>
      </c>
      <c r="J2" s="11">
        <f>IF($A2="","",IFERROR((C2-B2)/C2,0))</f>
        <v/>
      </c>
      <c r="K2" s="13">
        <f>IF($A2="","",D2)</f>
        <v/>
      </c>
      <c r="L2" s="13">
        <f>IF($A2="","",E2)</f>
        <v/>
      </c>
      <c r="M2" s="12">
        <f>IF($A2="","",F2)</f>
        <v/>
      </c>
      <c r="N2" s="14">
        <f>IF($A2="","",IFERROR(G2/Social!B2,0))</f>
        <v/>
      </c>
    </row>
    <row r="3" ht="22" customHeight="1">
      <c r="A3" s="9" t="n">
        <v>46034</v>
      </c>
      <c r="B3" s="10" t="n">
        <v>399</v>
      </c>
      <c r="C3" s="10" t="n">
        <v>465</v>
      </c>
      <c r="D3" s="13">
        <f>IF($A3="","",D3)</f>
        <v/>
      </c>
      <c r="E3" s="10" t="n">
        <v>121030.1181668595</v>
      </c>
      <c r="F3" s="10" t="n">
        <v>136</v>
      </c>
      <c r="G3" s="10" t="n">
        <v>592</v>
      </c>
      <c r="H3" s="11">
        <f>IF($A3="","",IFERROR(B3/C3,0))</f>
        <v/>
      </c>
      <c r="I3" s="11">
        <f>IF($A3="","",IFERROR(B3/C3,0))</f>
        <v/>
      </c>
      <c r="J3" s="11">
        <f>IF($A3="","",IFERROR((C3-B3)/C3,0))</f>
        <v/>
      </c>
      <c r="K3" s="13">
        <f>IF($A3="","",D3)</f>
        <v/>
      </c>
      <c r="L3" s="13">
        <f>IF($A3="","",E3)</f>
        <v/>
      </c>
      <c r="M3" s="12">
        <f>IF($A3="","",F3)</f>
        <v/>
      </c>
      <c r="N3" s="14">
        <f>IF($A3="","",IFERROR(G3/Social!B3,0))</f>
        <v/>
      </c>
    </row>
    <row r="4" ht="22" customHeight="1">
      <c r="A4" s="9" t="n">
        <v>46041</v>
      </c>
      <c r="B4" s="10" t="n">
        <v>385</v>
      </c>
      <c r="C4" s="10" t="n">
        <v>468</v>
      </c>
      <c r="D4" s="13">
        <f>IF($A4="","",D4)</f>
        <v/>
      </c>
      <c r="E4" s="10" t="n">
        <v>102649.0262275132</v>
      </c>
      <c r="F4" s="10" t="n">
        <v>131</v>
      </c>
      <c r="G4" s="10" t="n">
        <v>564</v>
      </c>
      <c r="H4" s="11">
        <f>IF($A4="","",IFERROR(B4/C4,0))</f>
        <v/>
      </c>
      <c r="I4" s="11">
        <f>IF($A4="","",IFERROR(B4/C4,0))</f>
        <v/>
      </c>
      <c r="J4" s="11">
        <f>IF($A4="","",IFERROR((C4-B4)/C4,0))</f>
        <v/>
      </c>
      <c r="K4" s="13">
        <f>IF($A4="","",D4)</f>
        <v/>
      </c>
      <c r="L4" s="13">
        <f>IF($A4="","",E4)</f>
        <v/>
      </c>
      <c r="M4" s="12">
        <f>IF($A4="","",F4)</f>
        <v/>
      </c>
      <c r="N4" s="14">
        <f>IF($A4="","",IFERROR(G4/Social!B4,0))</f>
        <v/>
      </c>
    </row>
    <row r="5" ht="22" customHeight="1">
      <c r="A5" s="9" t="n">
        <v>46048</v>
      </c>
      <c r="B5" s="10" t="n">
        <v>395</v>
      </c>
      <c r="C5" s="10" t="n">
        <v>471</v>
      </c>
      <c r="D5" s="13">
        <f>IF($A5="","",D5)</f>
        <v/>
      </c>
      <c r="E5" s="10" t="n">
        <v>109816.8541558205</v>
      </c>
      <c r="F5" s="10" t="n">
        <v>135</v>
      </c>
      <c r="G5" s="10" t="n">
        <v>515</v>
      </c>
      <c r="H5" s="11">
        <f>IF($A5="","",IFERROR(B5/C5,0))</f>
        <v/>
      </c>
      <c r="I5" s="11">
        <f>IF($A5="","",IFERROR(B5/C5,0))</f>
        <v/>
      </c>
      <c r="J5" s="11">
        <f>IF($A5="","",IFERROR((C5-B5)/C5,0))</f>
        <v/>
      </c>
      <c r="K5" s="13">
        <f>IF($A5="","",D5)</f>
        <v/>
      </c>
      <c r="L5" s="13">
        <f>IF($A5="","",E5)</f>
        <v/>
      </c>
      <c r="M5" s="12">
        <f>IF($A5="","",F5)</f>
        <v/>
      </c>
      <c r="N5" s="14">
        <f>IF($A5="","",IFERROR(G5/Social!B5,0))</f>
        <v/>
      </c>
    </row>
    <row r="6" ht="22" customHeight="1">
      <c r="A6" s="9" t="n">
        <v>46055</v>
      </c>
      <c r="B6" s="10" t="n">
        <v>390</v>
      </c>
      <c r="C6" s="10" t="n">
        <v>473</v>
      </c>
      <c r="D6" s="13">
        <f>IF($A6="","",D6)</f>
        <v/>
      </c>
      <c r="E6" s="10" t="n">
        <v>127008.6520624362</v>
      </c>
      <c r="F6" s="10" t="n">
        <v>140</v>
      </c>
      <c r="G6" s="10" t="n">
        <v>510</v>
      </c>
      <c r="H6" s="11">
        <f>IF($A6="","",IFERROR(B6/C6,0))</f>
        <v/>
      </c>
      <c r="I6" s="11">
        <f>IF($A6="","",IFERROR(B6/C6,0))</f>
        <v/>
      </c>
      <c r="J6" s="11">
        <f>IF($A6="","",IFERROR((C6-B6)/C6,0))</f>
        <v/>
      </c>
      <c r="K6" s="13">
        <f>IF($A6="","",D6)</f>
        <v/>
      </c>
      <c r="L6" s="13">
        <f>IF($A6="","",E6)</f>
        <v/>
      </c>
      <c r="M6" s="12">
        <f>IF($A6="","",F6)</f>
        <v/>
      </c>
      <c r="N6" s="14">
        <f>IF($A6="","",IFERROR(G6/Social!B6,0))</f>
        <v/>
      </c>
    </row>
    <row r="7" ht="22" customHeight="1">
      <c r="A7" s="9" t="n">
        <v>46062</v>
      </c>
      <c r="B7" s="10" t="n">
        <v>400</v>
      </c>
      <c r="C7" s="10" t="n">
        <v>476</v>
      </c>
      <c r="D7" s="13">
        <f>IF($A7="","",D7)</f>
        <v/>
      </c>
      <c r="E7" s="10" t="n">
        <v>128345.0128621828</v>
      </c>
      <c r="F7" s="10" t="n">
        <v>130</v>
      </c>
      <c r="G7" s="10" t="n">
        <v>473</v>
      </c>
      <c r="H7" s="11">
        <f>IF($A7="","",IFERROR(B7/C7,0))</f>
        <v/>
      </c>
      <c r="I7" s="11">
        <f>IF($A7="","",IFERROR(B7/C7,0))</f>
        <v/>
      </c>
      <c r="J7" s="11">
        <f>IF($A7="","",IFERROR((C7-B7)/C7,0))</f>
        <v/>
      </c>
      <c r="K7" s="13">
        <f>IF($A7="","",D7)</f>
        <v/>
      </c>
      <c r="L7" s="13">
        <f>IF($A7="","",E7)</f>
        <v/>
      </c>
      <c r="M7" s="12">
        <f>IF($A7="","",F7)</f>
        <v/>
      </c>
      <c r="N7" s="14">
        <f>IF($A7="","",IFERROR(G7/Social!B7,0))</f>
        <v/>
      </c>
    </row>
    <row r="8" ht="22" customHeight="1">
      <c r="A8" s="9" t="n">
        <v>46069</v>
      </c>
      <c r="B8" s="10" t="n">
        <v>408</v>
      </c>
      <c r="C8" s="10" t="n">
        <v>479</v>
      </c>
      <c r="D8" s="13">
        <f>IF($A8="","",D8)</f>
        <v/>
      </c>
      <c r="E8" s="10" t="n">
        <v>126091.7569114059</v>
      </c>
      <c r="F8" s="10" t="n">
        <v>131</v>
      </c>
      <c r="G8" s="10" t="n">
        <v>637</v>
      </c>
      <c r="H8" s="11">
        <f>IF($A8="","",IFERROR(B8/C8,0))</f>
        <v/>
      </c>
      <c r="I8" s="11">
        <f>IF($A8="","",IFERROR(B8/C8,0))</f>
        <v/>
      </c>
      <c r="J8" s="11">
        <f>IF($A8="","",IFERROR((C8-B8)/C8,0))</f>
        <v/>
      </c>
      <c r="K8" s="13">
        <f>IF($A8="","",D8)</f>
        <v/>
      </c>
      <c r="L8" s="13">
        <f>IF($A8="","",E8)</f>
        <v/>
      </c>
      <c r="M8" s="12">
        <f>IF($A8="","",F8)</f>
        <v/>
      </c>
      <c r="N8" s="14">
        <f>IF($A8="","",IFERROR(G8/Social!B8,0))</f>
        <v/>
      </c>
    </row>
    <row r="9" ht="22" customHeight="1">
      <c r="A9" s="9" t="n">
        <v>46076</v>
      </c>
      <c r="B9" s="10" t="n">
        <v>411</v>
      </c>
      <c r="C9" s="10" t="n">
        <v>482</v>
      </c>
      <c r="D9" s="13">
        <f>IF($A9="","",D9)</f>
        <v/>
      </c>
      <c r="E9" s="10" t="n">
        <v>138326.3411506912</v>
      </c>
      <c r="F9" s="10" t="n">
        <v>144</v>
      </c>
      <c r="G9" s="10" t="n">
        <v>568</v>
      </c>
      <c r="H9" s="11">
        <f>IF($A9="","",IFERROR(B9/C9,0))</f>
        <v/>
      </c>
      <c r="I9" s="11">
        <f>IF($A9="","",IFERROR(B9/C9,0))</f>
        <v/>
      </c>
      <c r="J9" s="11">
        <f>IF($A9="","",IFERROR((C9-B9)/C9,0))</f>
        <v/>
      </c>
      <c r="K9" s="13">
        <f>IF($A9="","",D9)</f>
        <v/>
      </c>
      <c r="L9" s="13">
        <f>IF($A9="","",E9)</f>
        <v/>
      </c>
      <c r="M9" s="12">
        <f>IF($A9="","",F9)</f>
        <v/>
      </c>
      <c r="N9" s="14">
        <f>IF($A9="","",IFERROR(G9/Social!B9,0))</f>
        <v/>
      </c>
    </row>
    <row r="10" ht="22" customHeight="1">
      <c r="A10" s="9" t="n">
        <v>46083</v>
      </c>
      <c r="B10" s="10" t="n">
        <v>416</v>
      </c>
      <c r="C10" s="10" t="n">
        <v>484</v>
      </c>
      <c r="D10" s="13">
        <f>IF($A10="","",D10)</f>
        <v/>
      </c>
      <c r="E10" s="10" t="n">
        <v>107338.8046997236</v>
      </c>
      <c r="F10" s="10" t="n">
        <v>134</v>
      </c>
      <c r="G10" s="10" t="n">
        <v>593</v>
      </c>
      <c r="H10" s="11">
        <f>IF($A10="","",IFERROR(B10/C10,0))</f>
        <v/>
      </c>
      <c r="I10" s="11">
        <f>IF($A10="","",IFERROR(B10/C10,0))</f>
        <v/>
      </c>
      <c r="J10" s="11">
        <f>IF($A10="","",IFERROR((C10-B10)/C10,0))</f>
        <v/>
      </c>
      <c r="K10" s="13">
        <f>IF($A10="","",D10)</f>
        <v/>
      </c>
      <c r="L10" s="13">
        <f>IF($A10="","",E10)</f>
        <v/>
      </c>
      <c r="M10" s="12">
        <f>IF($A10="","",F10)</f>
        <v/>
      </c>
      <c r="N10" s="14">
        <f>IF($A10="","",IFERROR(G10/Social!B10,0))</f>
        <v/>
      </c>
    </row>
    <row r="11" ht="22" customHeight="1">
      <c r="A11" s="9" t="n">
        <v>46090</v>
      </c>
      <c r="B11" s="10" t="n">
        <v>449</v>
      </c>
      <c r="C11" s="10" t="n">
        <v>487</v>
      </c>
      <c r="D11" s="13">
        <f>IF($A11="","",D11)</f>
        <v/>
      </c>
      <c r="E11" s="10" t="n">
        <v>128429.3134130187</v>
      </c>
      <c r="F11" s="10" t="n">
        <v>138</v>
      </c>
      <c r="G11" s="10" t="n">
        <v>707</v>
      </c>
      <c r="H11" s="11">
        <f>IF($A11="","",IFERROR(B11/C11,0))</f>
        <v/>
      </c>
      <c r="I11" s="11">
        <f>IF($A11="","",IFERROR(B11/C11,0))</f>
        <v/>
      </c>
      <c r="J11" s="11">
        <f>IF($A11="","",IFERROR((C11-B11)/C11,0))</f>
        <v/>
      </c>
      <c r="K11" s="13">
        <f>IF($A11="","",D11)</f>
        <v/>
      </c>
      <c r="L11" s="13">
        <f>IF($A11="","",E11)</f>
        <v/>
      </c>
      <c r="M11" s="12">
        <f>IF($A11="","",F11)</f>
        <v/>
      </c>
      <c r="N11" s="14">
        <f>IF($A11="","",IFERROR(G11/Social!B11,0))</f>
        <v/>
      </c>
    </row>
    <row r="12" ht="22" customHeight="1">
      <c r="A12" s="9" t="n">
        <v>46097</v>
      </c>
      <c r="B12" s="10" t="n">
        <v>417</v>
      </c>
      <c r="C12" s="10" t="n">
        <v>490</v>
      </c>
      <c r="D12" s="13">
        <f>IF($A12="","",D12)</f>
        <v/>
      </c>
      <c r="E12" s="10" t="n">
        <v>144470.2858745809</v>
      </c>
      <c r="F12" s="10" t="n">
        <v>133</v>
      </c>
      <c r="G12" s="10" t="n">
        <v>580</v>
      </c>
      <c r="H12" s="11">
        <f>IF($A12="","",IFERROR(B12/C12,0))</f>
        <v/>
      </c>
      <c r="I12" s="11">
        <f>IF($A12="","",IFERROR(B12/C12,0))</f>
        <v/>
      </c>
      <c r="J12" s="11">
        <f>IF($A12="","",IFERROR((C12-B12)/C12,0))</f>
        <v/>
      </c>
      <c r="K12" s="13">
        <f>IF($A12="","",D12)</f>
        <v/>
      </c>
      <c r="L12" s="13">
        <f>IF($A12="","",E12)</f>
        <v/>
      </c>
      <c r="M12" s="12">
        <f>IF($A12="","",F12)</f>
        <v/>
      </c>
      <c r="N12" s="14">
        <f>IF($A12="","",IFERROR(G12/Social!B12,0))</f>
        <v/>
      </c>
    </row>
    <row r="13" ht="22" customHeight="1">
      <c r="A13" s="9" t="n">
        <v>46104</v>
      </c>
      <c r="B13" s="10" t="n">
        <v>445</v>
      </c>
      <c r="C13" s="10" t="n">
        <v>493</v>
      </c>
      <c r="D13" s="13">
        <f>IF($A13="","",D13)</f>
        <v/>
      </c>
      <c r="E13" s="10" t="n">
        <v>128224.2852754484</v>
      </c>
      <c r="F13" s="10" t="n">
        <v>137</v>
      </c>
      <c r="G13" s="10" t="n">
        <v>621</v>
      </c>
      <c r="H13" s="11">
        <f>IF($A13="","",IFERROR(B13/C13,0))</f>
        <v/>
      </c>
      <c r="I13" s="11">
        <f>IF($A13="","",IFERROR(B13/C13,0))</f>
        <v/>
      </c>
      <c r="J13" s="11">
        <f>IF($A13="","",IFERROR((C13-B13)/C13,0))</f>
        <v/>
      </c>
      <c r="K13" s="13">
        <f>IF($A13="","",D13)</f>
        <v/>
      </c>
      <c r="L13" s="13">
        <f>IF($A13="","",E13)</f>
        <v/>
      </c>
      <c r="M13" s="12">
        <f>IF($A13="","",F13)</f>
        <v/>
      </c>
      <c r="N13" s="14">
        <f>IF($A13="","",IFERROR(G13/Social!B13,0))</f>
        <v/>
      </c>
    </row>
    <row r="14" ht="22" customHeight="1">
      <c r="A14" s="9" t="n">
        <v>46111</v>
      </c>
      <c r="B14" s="10" t="n">
        <v>406</v>
      </c>
      <c r="C14" s="10" t="n">
        <v>495</v>
      </c>
      <c r="D14" s="13">
        <f>IF($A14="","",D14)</f>
        <v/>
      </c>
      <c r="E14" s="10" t="n">
        <v>140646.5179746454</v>
      </c>
      <c r="F14" s="10" t="n">
        <v>144</v>
      </c>
      <c r="G14" s="10" t="n">
        <v>564</v>
      </c>
      <c r="H14" s="11">
        <f>IF($A14="","",IFERROR(B14/C14,0))</f>
        <v/>
      </c>
      <c r="I14" s="11">
        <f>IF($A14="","",IFERROR(B14/C14,0))</f>
        <v/>
      </c>
      <c r="J14" s="11">
        <f>IF($A14="","",IFERROR((C14-B14)/C14,0))</f>
        <v/>
      </c>
      <c r="K14" s="13">
        <f>IF($A14="","",D14)</f>
        <v/>
      </c>
      <c r="L14" s="13">
        <f>IF($A14="","",E14)</f>
        <v/>
      </c>
      <c r="M14" s="12">
        <f>IF($A14="","",F14)</f>
        <v/>
      </c>
      <c r="N14" s="14">
        <f>IF($A14="","",IFERROR(G14/Social!B14,0))</f>
        <v/>
      </c>
    </row>
    <row r="15" ht="22" customHeight="1">
      <c r="A15" s="9" t="n">
        <v>46118</v>
      </c>
      <c r="B15" s="10" t="n">
        <v>446</v>
      </c>
      <c r="C15" s="10" t="n">
        <v>498</v>
      </c>
      <c r="D15" s="13">
        <f>IF($A15="","",D15)</f>
        <v/>
      </c>
      <c r="E15" s="10" t="n">
        <v>155476.9915596651</v>
      </c>
      <c r="F15" s="10" t="n">
        <v>133</v>
      </c>
      <c r="G15" s="10" t="n">
        <v>642</v>
      </c>
      <c r="H15" s="11">
        <f>IF($A15="","",IFERROR(B15/C15,0))</f>
        <v/>
      </c>
      <c r="I15" s="11">
        <f>IF($A15="","",IFERROR(B15/C15,0))</f>
        <v/>
      </c>
      <c r="J15" s="11">
        <f>IF($A15="","",IFERROR((C15-B15)/C15,0))</f>
        <v/>
      </c>
      <c r="K15" s="13">
        <f>IF($A15="","",D15)</f>
        <v/>
      </c>
      <c r="L15" s="13">
        <f>IF($A15="","",E15)</f>
        <v/>
      </c>
      <c r="M15" s="12">
        <f>IF($A15="","",F15)</f>
        <v/>
      </c>
      <c r="N15" s="14">
        <f>IF($A15="","",IFERROR(G15/Social!B15,0))</f>
        <v/>
      </c>
    </row>
    <row r="16" ht="22" customHeight="1">
      <c r="A16" s="9" t="n">
        <v>46125</v>
      </c>
      <c r="B16" s="10" t="n">
        <v>428</v>
      </c>
      <c r="C16" s="10" t="n">
        <v>501</v>
      </c>
      <c r="D16" s="13">
        <f>IF($A16="","",D16)</f>
        <v/>
      </c>
      <c r="E16" s="10" t="n">
        <v>115128.0157705889</v>
      </c>
      <c r="F16" s="10" t="n">
        <v>146</v>
      </c>
      <c r="G16" s="10" t="n">
        <v>608</v>
      </c>
      <c r="H16" s="11">
        <f>IF($A16="","",IFERROR(B16/C16,0))</f>
        <v/>
      </c>
      <c r="I16" s="11">
        <f>IF($A16="","",IFERROR(B16/C16,0))</f>
        <v/>
      </c>
      <c r="J16" s="11">
        <f>IF($A16="","",IFERROR((C16-B16)/C16,0))</f>
        <v/>
      </c>
      <c r="K16" s="13">
        <f>IF($A16="","",D16)</f>
        <v/>
      </c>
      <c r="L16" s="13">
        <f>IF($A16="","",E16)</f>
        <v/>
      </c>
      <c r="M16" s="12">
        <f>IF($A16="","",F16)</f>
        <v/>
      </c>
      <c r="N16" s="14">
        <f>IF($A16="","",IFERROR(G16/Social!B16,0))</f>
        <v/>
      </c>
    </row>
    <row r="17" ht="22" customHeight="1">
      <c r="A17" s="9" t="n">
        <v>46132</v>
      </c>
      <c r="B17" s="10" t="n">
        <v>439</v>
      </c>
      <c r="C17" s="10" t="n">
        <v>504</v>
      </c>
      <c r="D17" s="13">
        <f>IF($A17="","",D17)</f>
        <v/>
      </c>
      <c r="E17" s="10" t="n">
        <v>143135.5018653129</v>
      </c>
      <c r="F17" s="10" t="n">
        <v>160</v>
      </c>
      <c r="G17" s="10" t="n">
        <v>662</v>
      </c>
      <c r="H17" s="11">
        <f>IF($A17="","",IFERROR(B17/C17,0))</f>
        <v/>
      </c>
      <c r="I17" s="11">
        <f>IF($A17="","",IFERROR(B17/C17,0))</f>
        <v/>
      </c>
      <c r="J17" s="11">
        <f>IF($A17="","",IFERROR((C17-B17)/C17,0))</f>
        <v/>
      </c>
      <c r="K17" s="13">
        <f>IF($A17="","",D17)</f>
        <v/>
      </c>
      <c r="L17" s="13">
        <f>IF($A17="","",E17)</f>
        <v/>
      </c>
      <c r="M17" s="12">
        <f>IF($A17="","",F17)</f>
        <v/>
      </c>
      <c r="N17" s="14">
        <f>IF($A17="","",IFERROR(G17/Social!B17,0))</f>
        <v/>
      </c>
    </row>
    <row r="18" ht="22" customHeight="1">
      <c r="A18" s="9" t="n">
        <v>46139</v>
      </c>
      <c r="B18" s="10" t="n">
        <v>451</v>
      </c>
      <c r="C18" s="10" t="n">
        <v>506</v>
      </c>
      <c r="D18" s="13">
        <f>IF($A18="","",D18)</f>
        <v/>
      </c>
      <c r="E18" s="10" t="n">
        <v>146027.9885032055</v>
      </c>
      <c r="F18" s="10" t="n">
        <v>138</v>
      </c>
      <c r="G18" s="10" t="n">
        <v>616</v>
      </c>
      <c r="H18" s="11">
        <f>IF($A18="","",IFERROR(B18/C18,0))</f>
        <v/>
      </c>
      <c r="I18" s="11">
        <f>IF($A18="","",IFERROR(B18/C18,0))</f>
        <v/>
      </c>
      <c r="J18" s="11">
        <f>IF($A18="","",IFERROR((C18-B18)/C18,0))</f>
        <v/>
      </c>
      <c r="K18" s="13">
        <f>IF($A18="","",D18)</f>
        <v/>
      </c>
      <c r="L18" s="13">
        <f>IF($A18="","",E18)</f>
        <v/>
      </c>
      <c r="M18" s="12">
        <f>IF($A18="","",F18)</f>
        <v/>
      </c>
      <c r="N18" s="14">
        <f>IF($A18="","",IFERROR(G18/Social!B18,0))</f>
        <v/>
      </c>
    </row>
    <row r="19" ht="22" customHeight="1">
      <c r="A19" s="9" t="n">
        <v>46146</v>
      </c>
      <c r="B19" s="10" t="n">
        <v>445</v>
      </c>
      <c r="C19" s="10" t="n">
        <v>509</v>
      </c>
      <c r="D19" s="13">
        <f>IF($A19="","",D19)</f>
        <v/>
      </c>
      <c r="E19" s="10" t="n">
        <v>137129.3148942744</v>
      </c>
      <c r="F19" s="10" t="n">
        <v>151</v>
      </c>
      <c r="G19" s="10" t="n">
        <v>673</v>
      </c>
      <c r="H19" s="11">
        <f>IF($A19="","",IFERROR(B19/C19,0))</f>
        <v/>
      </c>
      <c r="I19" s="11">
        <f>IF($A19="","",IFERROR(B19/C19,0))</f>
        <v/>
      </c>
      <c r="J19" s="11">
        <f>IF($A19="","",IFERROR((C19-B19)/C19,0))</f>
        <v/>
      </c>
      <c r="K19" s="13">
        <f>IF($A19="","",D19)</f>
        <v/>
      </c>
      <c r="L19" s="13">
        <f>IF($A19="","",E19)</f>
        <v/>
      </c>
      <c r="M19" s="12">
        <f>IF($A19="","",F19)</f>
        <v/>
      </c>
      <c r="N19" s="14">
        <f>IF($A19="","",IFERROR(G19/Social!B19,0))</f>
        <v/>
      </c>
    </row>
    <row r="20" ht="22" customHeight="1">
      <c r="A20" s="9" t="n">
        <v>46153</v>
      </c>
      <c r="B20" s="10" t="n">
        <v>454</v>
      </c>
      <c r="C20" s="10" t="n">
        <v>512</v>
      </c>
      <c r="D20" s="13">
        <f>IF($A20="","",D20)</f>
        <v/>
      </c>
      <c r="E20" s="10" t="n">
        <v>135282.3770476772</v>
      </c>
      <c r="F20" s="10" t="n">
        <v>157</v>
      </c>
      <c r="G20" s="10" t="n">
        <v>684</v>
      </c>
      <c r="H20" s="11">
        <f>IF($A20="","",IFERROR(B20/C20,0))</f>
        <v/>
      </c>
      <c r="I20" s="11">
        <f>IF($A20="","",IFERROR(B20/C20,0))</f>
        <v/>
      </c>
      <c r="J20" s="11">
        <f>IF($A20="","",IFERROR((C20-B20)/C20,0))</f>
        <v/>
      </c>
      <c r="K20" s="13">
        <f>IF($A20="","",D20)</f>
        <v/>
      </c>
      <c r="L20" s="13">
        <f>IF($A20="","",E20)</f>
        <v/>
      </c>
      <c r="M20" s="12">
        <f>IF($A20="","",F20)</f>
        <v/>
      </c>
      <c r="N20" s="14">
        <f>IF($A20="","",IFERROR(G20/Social!B20,0))</f>
        <v/>
      </c>
    </row>
    <row r="21" ht="22" customHeight="1">
      <c r="A21" s="9" t="n">
        <v>46160</v>
      </c>
      <c r="B21" s="10" t="n">
        <v>449</v>
      </c>
      <c r="C21" s="10" t="n">
        <v>515</v>
      </c>
      <c r="D21" s="13">
        <f>IF($A21="","",D21)</f>
        <v/>
      </c>
      <c r="E21" s="10" t="n">
        <v>149014.229940268</v>
      </c>
      <c r="F21" s="10" t="n">
        <v>135</v>
      </c>
      <c r="G21" s="10" t="n">
        <v>710</v>
      </c>
      <c r="H21" s="11">
        <f>IF($A21="","",IFERROR(B21/C21,0))</f>
        <v/>
      </c>
      <c r="I21" s="11">
        <f>IF($A21="","",IFERROR(B21/C21,0))</f>
        <v/>
      </c>
      <c r="J21" s="11">
        <f>IF($A21="","",IFERROR((C21-B21)/C21,0))</f>
        <v/>
      </c>
      <c r="K21" s="13">
        <f>IF($A21="","",D21)</f>
        <v/>
      </c>
      <c r="L21" s="13">
        <f>IF($A21="","",E21)</f>
        <v/>
      </c>
      <c r="M21" s="12">
        <f>IF($A21="","",F21)</f>
        <v/>
      </c>
      <c r="N21" s="14">
        <f>IF($A21="","",IFERROR(G21/Social!B21,0))</f>
        <v/>
      </c>
    </row>
    <row r="22" ht="22" customHeight="1">
      <c r="A22" s="9" t="n">
        <v>46167</v>
      </c>
      <c r="B22" s="10" t="n">
        <v>470</v>
      </c>
      <c r="C22" s="10" t="n">
        <v>517</v>
      </c>
      <c r="D22" s="13">
        <f>IF($A22="","",D22)</f>
        <v/>
      </c>
      <c r="E22" s="10" t="n">
        <v>140671.8364283545</v>
      </c>
      <c r="F22" s="10" t="n">
        <v>153</v>
      </c>
      <c r="G22" s="10" t="n">
        <v>655</v>
      </c>
      <c r="H22" s="11">
        <f>IF($A22="","",IFERROR(B22/C22,0))</f>
        <v/>
      </c>
      <c r="I22" s="11">
        <f>IF($A22="","",IFERROR(B22/C22,0))</f>
        <v/>
      </c>
      <c r="J22" s="11">
        <f>IF($A22="","",IFERROR((C22-B22)/C22,0))</f>
        <v/>
      </c>
      <c r="K22" s="13">
        <f>IF($A22="","",D22)</f>
        <v/>
      </c>
      <c r="L22" s="13">
        <f>IF($A22="","",E22)</f>
        <v/>
      </c>
      <c r="M22" s="12">
        <f>IF($A22="","",F22)</f>
        <v/>
      </c>
      <c r="N22" s="14">
        <f>IF($A22="","",IFERROR(G22/Social!B22,0))</f>
        <v/>
      </c>
    </row>
    <row r="23" ht="22" customHeight="1">
      <c r="A23" s="9" t="n">
        <v>46174</v>
      </c>
      <c r="B23" s="10" t="n">
        <v>469</v>
      </c>
      <c r="C23" s="10" t="n">
        <v>520</v>
      </c>
      <c r="D23" s="13">
        <f>IF($A23="","",D23)</f>
        <v/>
      </c>
      <c r="E23" s="10" t="n">
        <v>150848.610718328</v>
      </c>
      <c r="F23" s="10" t="n">
        <v>147</v>
      </c>
      <c r="G23" s="10" t="n">
        <v>652</v>
      </c>
      <c r="H23" s="11">
        <f>IF($A23="","",IFERROR(B23/C23,0))</f>
        <v/>
      </c>
      <c r="I23" s="11">
        <f>IF($A23="","",IFERROR(B23/C23,0))</f>
        <v/>
      </c>
      <c r="J23" s="11">
        <f>IF($A23="","",IFERROR((C23-B23)/C23,0))</f>
        <v/>
      </c>
      <c r="K23" s="13">
        <f>IF($A23="","",D23)</f>
        <v/>
      </c>
      <c r="L23" s="13">
        <f>IF($A23="","",E23)</f>
        <v/>
      </c>
      <c r="M23" s="12">
        <f>IF($A23="","",F23)</f>
        <v/>
      </c>
      <c r="N23" s="14">
        <f>IF($A23="","",IFERROR(G23/Social!B23,0))</f>
        <v/>
      </c>
    </row>
    <row r="24" ht="22" customHeight="1">
      <c r="A24" s="9" t="n">
        <v>46181</v>
      </c>
      <c r="B24" s="10" t="n">
        <v>432</v>
      </c>
      <c r="C24" s="10" t="n">
        <v>523</v>
      </c>
      <c r="D24" s="13">
        <f>IF($A24="","",D24)</f>
        <v/>
      </c>
      <c r="E24" s="10" t="n">
        <v>115143.8307528047</v>
      </c>
      <c r="F24" s="10" t="n">
        <v>156</v>
      </c>
      <c r="G24" s="10" t="n">
        <v>542</v>
      </c>
      <c r="H24" s="11">
        <f>IF($A24="","",IFERROR(B24/C24,0))</f>
        <v/>
      </c>
      <c r="I24" s="11">
        <f>IF($A24="","",IFERROR(B24/C24,0))</f>
        <v/>
      </c>
      <c r="J24" s="11">
        <f>IF($A24="","",IFERROR((C24-B24)/C24,0))</f>
        <v/>
      </c>
      <c r="K24" s="13">
        <f>IF($A24="","",D24)</f>
        <v/>
      </c>
      <c r="L24" s="13">
        <f>IF($A24="","",E24)</f>
        <v/>
      </c>
      <c r="M24" s="12">
        <f>IF($A24="","",F24)</f>
        <v/>
      </c>
      <c r="N24" s="14">
        <f>IF($A24="","",IFERROR(G24/Social!B24,0))</f>
        <v/>
      </c>
    </row>
    <row r="25" ht="22" customHeight="1">
      <c r="A25" s="9" t="n">
        <v>46188</v>
      </c>
      <c r="B25" s="10" t="n">
        <v>467</v>
      </c>
      <c r="C25" s="10" t="n">
        <v>526</v>
      </c>
      <c r="D25" s="13">
        <f>IF($A25="","",D25)</f>
        <v/>
      </c>
      <c r="E25" s="10" t="n">
        <v>152739.0368786973</v>
      </c>
      <c r="F25" s="10" t="n">
        <v>139</v>
      </c>
      <c r="G25" s="10" t="n">
        <v>587</v>
      </c>
      <c r="H25" s="11">
        <f>IF($A25="","",IFERROR(B25/C25,0))</f>
        <v/>
      </c>
      <c r="I25" s="11">
        <f>IF($A25="","",IFERROR(B25/C25,0))</f>
        <v/>
      </c>
      <c r="J25" s="11">
        <f>IF($A25="","",IFERROR((C25-B25)/C25,0))</f>
        <v/>
      </c>
      <c r="K25" s="13">
        <f>IF($A25="","",D25)</f>
        <v/>
      </c>
      <c r="L25" s="13">
        <f>IF($A25="","",E25)</f>
        <v/>
      </c>
      <c r="M25" s="12">
        <f>IF($A25="","",F25)</f>
        <v/>
      </c>
      <c r="N25" s="14">
        <f>IF($A25="","",IFERROR(G25/Social!B25,0))</f>
        <v/>
      </c>
    </row>
    <row r="26" ht="22" customHeight="1">
      <c r="A26" s="9" t="n">
        <v>46195</v>
      </c>
      <c r="B26" s="10" t="n">
        <v>455</v>
      </c>
      <c r="C26" s="10" t="n">
        <v>529</v>
      </c>
      <c r="D26" s="13">
        <f>IF($A26="","",D26)</f>
        <v/>
      </c>
      <c r="E26" s="10" t="n">
        <v>141736.8187773958</v>
      </c>
      <c r="F26" s="10" t="n">
        <v>152</v>
      </c>
      <c r="G26" s="10" t="n">
        <v>568</v>
      </c>
      <c r="H26" s="11">
        <f>IF($A26="","",IFERROR(B26/C26,0))</f>
        <v/>
      </c>
      <c r="I26" s="11">
        <f>IF($A26="","",IFERROR(B26/C26,0))</f>
        <v/>
      </c>
      <c r="J26" s="11">
        <f>IF($A26="","",IFERROR((C26-B26)/C26,0))</f>
        <v/>
      </c>
      <c r="K26" s="13">
        <f>IF($A26="","",D26)</f>
        <v/>
      </c>
      <c r="L26" s="13">
        <f>IF($A26="","",E26)</f>
        <v/>
      </c>
      <c r="M26" s="12">
        <f>IF($A26="","",F26)</f>
        <v/>
      </c>
      <c r="N26" s="14">
        <f>IF($A26="","",IFERROR(G26/Social!B26,0))</f>
        <v/>
      </c>
    </row>
    <row r="27" ht="22" customHeight="1">
      <c r="A27" s="9" t="n">
        <v>46202</v>
      </c>
      <c r="B27" s="10" t="n">
        <v>459</v>
      </c>
      <c r="C27" s="10" t="n">
        <v>531</v>
      </c>
      <c r="D27" s="13">
        <f>IF($A27="","",D27)</f>
        <v/>
      </c>
      <c r="E27" s="10" t="n">
        <v>125162.2379231528</v>
      </c>
      <c r="F27" s="10" t="n">
        <v>155</v>
      </c>
      <c r="G27" s="10" t="n">
        <v>632</v>
      </c>
      <c r="H27" s="11">
        <f>IF($A27="","",IFERROR(B27/C27,0))</f>
        <v/>
      </c>
      <c r="I27" s="11">
        <f>IF($A27="","",IFERROR(B27/C27,0))</f>
        <v/>
      </c>
      <c r="J27" s="11">
        <f>IF($A27="","",IFERROR((C27-B27)/C27,0))</f>
        <v/>
      </c>
      <c r="K27" s="13">
        <f>IF($A27="","",D27)</f>
        <v/>
      </c>
      <c r="L27" s="13">
        <f>IF($A27="","",E27)</f>
        <v/>
      </c>
      <c r="M27" s="12">
        <f>IF($A27="","",F27)</f>
        <v/>
      </c>
      <c r="N27" s="14">
        <f>IF($A27="","",IFERROR(G27/Social!B27,0))</f>
        <v/>
      </c>
    </row>
    <row r="28" ht="22" customHeight="1">
      <c r="A28" s="9" t="n">
        <v>46209</v>
      </c>
      <c r="B28" s="10" t="n">
        <v>473</v>
      </c>
      <c r="C28" s="10" t="n">
        <v>534</v>
      </c>
      <c r="D28" s="13">
        <f>IF($A28="","",D28)</f>
        <v/>
      </c>
      <c r="E28" s="10" t="n">
        <v>142635.8849427974</v>
      </c>
      <c r="F28" s="10" t="n">
        <v>142</v>
      </c>
      <c r="G28" s="10" t="n">
        <v>622</v>
      </c>
      <c r="H28" s="11">
        <f>IF($A28="","",IFERROR(B28/C28,0))</f>
        <v/>
      </c>
      <c r="I28" s="11">
        <f>IF($A28="","",IFERROR(B28/C28,0))</f>
        <v/>
      </c>
      <c r="J28" s="11">
        <f>IF($A28="","",IFERROR((C28-B28)/C28,0))</f>
        <v/>
      </c>
      <c r="K28" s="13">
        <f>IF($A28="","",D28)</f>
        <v/>
      </c>
      <c r="L28" s="13">
        <f>IF($A28="","",E28)</f>
        <v/>
      </c>
      <c r="M28" s="12">
        <f>IF($A28="","",F28)</f>
        <v/>
      </c>
      <c r="N28" s="14">
        <f>IF($A28="","",IFERROR(G28/Social!B28,0))</f>
        <v/>
      </c>
    </row>
    <row r="29" ht="22" customHeight="1">
      <c r="A29" s="9" t="n">
        <v>46216</v>
      </c>
      <c r="B29" s="10" t="n">
        <v>497</v>
      </c>
      <c r="C29" s="10" t="n">
        <v>537</v>
      </c>
      <c r="D29" s="13">
        <f>IF($A29="","",D29)</f>
        <v/>
      </c>
      <c r="E29" s="10" t="n">
        <v>132404.8127826855</v>
      </c>
      <c r="F29" s="10" t="n">
        <v>130</v>
      </c>
      <c r="G29" s="10" t="n">
        <v>651</v>
      </c>
      <c r="H29" s="11">
        <f>IF($A29="","",IFERROR(B29/C29,0))</f>
        <v/>
      </c>
      <c r="I29" s="11">
        <f>IF($A29="","",IFERROR(B29/C29,0))</f>
        <v/>
      </c>
      <c r="J29" s="11">
        <f>IF($A29="","",IFERROR((C29-B29)/C29,0))</f>
        <v/>
      </c>
      <c r="K29" s="13">
        <f>IF($A29="","",D29)</f>
        <v/>
      </c>
      <c r="L29" s="13">
        <f>IF($A29="","",E29)</f>
        <v/>
      </c>
      <c r="M29" s="12">
        <f>IF($A29="","",F29)</f>
        <v/>
      </c>
      <c r="N29" s="14">
        <f>IF($A29="","",IFERROR(G29/Social!B29,0))</f>
        <v/>
      </c>
    </row>
    <row r="30" ht="22" customHeight="1">
      <c r="A30" s="9" t="n">
        <v>46223</v>
      </c>
      <c r="B30" s="10" t="n">
        <v>501</v>
      </c>
      <c r="C30" s="10" t="n">
        <v>540</v>
      </c>
      <c r="D30" s="13">
        <f>IF($A30="","",D30)</f>
        <v/>
      </c>
      <c r="E30" s="10" t="n">
        <v>148201.5440316888</v>
      </c>
      <c r="F30" s="10" t="n">
        <v>139</v>
      </c>
      <c r="G30" s="10" t="n">
        <v>645</v>
      </c>
      <c r="H30" s="11">
        <f>IF($A30="","",IFERROR(B30/C30,0))</f>
        <v/>
      </c>
      <c r="I30" s="11">
        <f>IF($A30="","",IFERROR(B30/C30,0))</f>
        <v/>
      </c>
      <c r="J30" s="11">
        <f>IF($A30="","",IFERROR((C30-B30)/C30,0))</f>
        <v/>
      </c>
      <c r="K30" s="13">
        <f>IF($A30="","",D30)</f>
        <v/>
      </c>
      <c r="L30" s="13">
        <f>IF($A30="","",E30)</f>
        <v/>
      </c>
      <c r="M30" s="12">
        <f>IF($A30="","",F30)</f>
        <v/>
      </c>
      <c r="N30" s="14">
        <f>IF($A30="","",IFERROR(G30/Social!B30,0))</f>
        <v/>
      </c>
    </row>
    <row r="31" ht="22" customHeight="1">
      <c r="A31" s="9" t="n">
        <v>46230</v>
      </c>
      <c r="B31" s="10" t="n">
        <v>475</v>
      </c>
      <c r="C31" s="10" t="n">
        <v>542</v>
      </c>
      <c r="D31" s="13">
        <f>IF($A31="","",D31)</f>
        <v/>
      </c>
      <c r="E31" s="10" t="n">
        <v>142887.6260736522</v>
      </c>
      <c r="F31" s="10" t="n">
        <v>159</v>
      </c>
      <c r="G31" s="10" t="n">
        <v>673</v>
      </c>
      <c r="H31" s="11">
        <f>IF($A31="","",IFERROR(B31/C31,0))</f>
        <v/>
      </c>
      <c r="I31" s="11">
        <f>IF($A31="","",IFERROR(B31/C31,0))</f>
        <v/>
      </c>
      <c r="J31" s="11">
        <f>IF($A31="","",IFERROR((C31-B31)/C31,0))</f>
        <v/>
      </c>
      <c r="K31" s="13">
        <f>IF($A31="","",D31)</f>
        <v/>
      </c>
      <c r="L31" s="13">
        <f>IF($A31="","",E31)</f>
        <v/>
      </c>
      <c r="M31" s="12">
        <f>IF($A31="","",F31)</f>
        <v/>
      </c>
      <c r="N31" s="14">
        <f>IF($A31="","",IFERROR(G31/Social!B31,0))</f>
        <v/>
      </c>
    </row>
    <row r="32" ht="22" customHeight="1">
      <c r="A32" s="9" t="n">
        <v>46237</v>
      </c>
      <c r="B32" s="10" t="n">
        <v>497</v>
      </c>
      <c r="C32" s="10" t="n">
        <v>545</v>
      </c>
      <c r="D32" s="13">
        <f>IF($A32="","",D32)</f>
        <v/>
      </c>
      <c r="E32" s="10" t="n">
        <v>158463.722715626</v>
      </c>
      <c r="F32" s="10" t="n">
        <v>172</v>
      </c>
      <c r="G32" s="10" t="n">
        <v>674</v>
      </c>
      <c r="H32" s="11">
        <f>IF($A32="","",IFERROR(B32/C32,0))</f>
        <v/>
      </c>
      <c r="I32" s="11">
        <f>IF($A32="","",IFERROR(B32/C32,0))</f>
        <v/>
      </c>
      <c r="J32" s="11">
        <f>IF($A32="","",IFERROR((C32-B32)/C32,0))</f>
        <v/>
      </c>
      <c r="K32" s="13">
        <f>IF($A32="","",D32)</f>
        <v/>
      </c>
      <c r="L32" s="13">
        <f>IF($A32="","",E32)</f>
        <v/>
      </c>
      <c r="M32" s="12">
        <f>IF($A32="","",F32)</f>
        <v/>
      </c>
      <c r="N32" s="14">
        <f>IF($A32="","",IFERROR(G32/Social!B32,0))</f>
        <v/>
      </c>
    </row>
    <row r="33" ht="22" customHeight="1">
      <c r="A33" s="9" t="n">
        <v>46244</v>
      </c>
      <c r="B33" s="10" t="n">
        <v>519</v>
      </c>
      <c r="C33" s="10" t="n">
        <v>548</v>
      </c>
      <c r="D33" s="13">
        <f>IF($A33="","",D33)</f>
        <v/>
      </c>
      <c r="E33" s="10" t="n">
        <v>147630.6402587673</v>
      </c>
      <c r="F33" s="10" t="n">
        <v>139</v>
      </c>
      <c r="G33" s="10" t="n">
        <v>771</v>
      </c>
      <c r="H33" s="11">
        <f>IF($A33="","",IFERROR(B33/C33,0))</f>
        <v/>
      </c>
      <c r="I33" s="11">
        <f>IF($A33="","",IFERROR(B33/C33,0))</f>
        <v/>
      </c>
      <c r="J33" s="11">
        <f>IF($A33="","",IFERROR((C33-B33)/C33,0))</f>
        <v/>
      </c>
      <c r="K33" s="13">
        <f>IF($A33="","",D33)</f>
        <v/>
      </c>
      <c r="L33" s="13">
        <f>IF($A33="","",E33)</f>
        <v/>
      </c>
      <c r="M33" s="12">
        <f>IF($A33="","",F33)</f>
        <v/>
      </c>
      <c r="N33" s="14">
        <f>IF($A33="","",IFERROR(G33/Social!B33,0))</f>
        <v/>
      </c>
    </row>
    <row r="34" ht="22" customHeight="1">
      <c r="A34" s="9" t="n">
        <v>46251</v>
      </c>
      <c r="B34" s="10" t="n">
        <v>500</v>
      </c>
      <c r="C34" s="10" t="n">
        <v>551</v>
      </c>
      <c r="D34" s="13">
        <f>IF($A34="","",D34)</f>
        <v/>
      </c>
      <c r="E34" s="10" t="n">
        <v>152400.9937917458</v>
      </c>
      <c r="F34" s="10" t="n">
        <v>162</v>
      </c>
      <c r="G34" s="10" t="n">
        <v>596</v>
      </c>
      <c r="H34" s="11">
        <f>IF($A34="","",IFERROR(B34/C34,0))</f>
        <v/>
      </c>
      <c r="I34" s="11">
        <f>IF($A34="","",IFERROR(B34/C34,0))</f>
        <v/>
      </c>
      <c r="J34" s="11">
        <f>IF($A34="","",IFERROR((C34-B34)/C34,0))</f>
        <v/>
      </c>
      <c r="K34" s="13">
        <f>IF($A34="","",D34)</f>
        <v/>
      </c>
      <c r="L34" s="13">
        <f>IF($A34="","",E34)</f>
        <v/>
      </c>
      <c r="M34" s="12">
        <f>IF($A34="","",F34)</f>
        <v/>
      </c>
      <c r="N34" s="14">
        <f>IF($A34="","",IFERROR(G34/Social!B34,0))</f>
        <v/>
      </c>
    </row>
    <row r="35" ht="22" customHeight="1">
      <c r="A35" s="9" t="n">
        <v>46258</v>
      </c>
      <c r="B35" s="10" t="n">
        <v>506</v>
      </c>
      <c r="C35" s="10" t="n">
        <v>553</v>
      </c>
      <c r="D35" s="13">
        <f>IF($A35="","",D35)</f>
        <v/>
      </c>
      <c r="E35" s="10" t="n">
        <v>170078.5152938486</v>
      </c>
      <c r="F35" s="10" t="n">
        <v>159</v>
      </c>
      <c r="G35" s="10" t="n">
        <v>706</v>
      </c>
      <c r="H35" s="11">
        <f>IF($A35="","",IFERROR(B35/C35,0))</f>
        <v/>
      </c>
      <c r="I35" s="11">
        <f>IF($A35="","",IFERROR(B35/C35,0))</f>
        <v/>
      </c>
      <c r="J35" s="11">
        <f>IF($A35="","",IFERROR((C35-B35)/C35,0))</f>
        <v/>
      </c>
      <c r="K35" s="13">
        <f>IF($A35="","",D35)</f>
        <v/>
      </c>
      <c r="L35" s="13">
        <f>IF($A35="","",E35)</f>
        <v/>
      </c>
      <c r="M35" s="12">
        <f>IF($A35="","",F35)</f>
        <v/>
      </c>
      <c r="N35" s="14">
        <f>IF($A35="","",IFERROR(G35/Social!B35,0))</f>
        <v/>
      </c>
    </row>
    <row r="36" ht="22" customHeight="1">
      <c r="A36" s="9" t="n">
        <v>46265</v>
      </c>
      <c r="B36" s="10" t="n">
        <v>506</v>
      </c>
      <c r="C36" s="10" t="n">
        <v>556</v>
      </c>
      <c r="D36" s="13">
        <f>IF($A36="","",D36)</f>
        <v/>
      </c>
      <c r="E36" s="10" t="n">
        <v>169212.493250445</v>
      </c>
      <c r="F36" s="10" t="n">
        <v>177</v>
      </c>
      <c r="G36" s="10" t="n">
        <v>675</v>
      </c>
      <c r="H36" s="11">
        <f>IF($A36="","",IFERROR(B36/C36,0))</f>
        <v/>
      </c>
      <c r="I36" s="11">
        <f>IF($A36="","",IFERROR(B36/C36,0))</f>
        <v/>
      </c>
      <c r="J36" s="11">
        <f>IF($A36="","",IFERROR((C36-B36)/C36,0))</f>
        <v/>
      </c>
      <c r="K36" s="13">
        <f>IF($A36="","",D36)</f>
        <v/>
      </c>
      <c r="L36" s="13">
        <f>IF($A36="","",E36)</f>
        <v/>
      </c>
      <c r="M36" s="12">
        <f>IF($A36="","",F36)</f>
        <v/>
      </c>
      <c r="N36" s="14">
        <f>IF($A36="","",IFERROR(G36/Social!B36,0))</f>
        <v/>
      </c>
    </row>
    <row r="37" ht="22" customHeight="1">
      <c r="A37" s="9" t="n">
        <v>46272</v>
      </c>
      <c r="B37" s="10" t="n">
        <v>504</v>
      </c>
      <c r="C37" s="10" t="n">
        <v>559</v>
      </c>
      <c r="D37" s="13">
        <f>IF($A37="","",D37)</f>
        <v/>
      </c>
      <c r="E37" s="10" t="n">
        <v>164939.6809980236</v>
      </c>
      <c r="F37" s="10" t="n">
        <v>149</v>
      </c>
      <c r="G37" s="10" t="n">
        <v>650</v>
      </c>
      <c r="H37" s="11">
        <f>IF($A37="","",IFERROR(B37/C37,0))</f>
        <v/>
      </c>
      <c r="I37" s="11">
        <f>IF($A37="","",IFERROR(B37/C37,0))</f>
        <v/>
      </c>
      <c r="J37" s="11">
        <f>IF($A37="","",IFERROR((C37-B37)/C37,0))</f>
        <v/>
      </c>
      <c r="K37" s="13">
        <f>IF($A37="","",D37)</f>
        <v/>
      </c>
      <c r="L37" s="13">
        <f>IF($A37="","",E37)</f>
        <v/>
      </c>
      <c r="M37" s="12">
        <f>IF($A37="","",F37)</f>
        <v/>
      </c>
      <c r="N37" s="14">
        <f>IF($A37="","",IFERROR(G37/Social!B37,0))</f>
        <v/>
      </c>
    </row>
    <row r="38" ht="22" customHeight="1">
      <c r="A38" s="9" t="n">
        <v>46279</v>
      </c>
      <c r="B38" s="10" t="n">
        <v>487</v>
      </c>
      <c r="C38" s="10" t="n">
        <v>562</v>
      </c>
      <c r="D38" s="13">
        <f>IF($A38="","",D38)</f>
        <v/>
      </c>
      <c r="E38" s="10" t="n">
        <v>148881.6118016361</v>
      </c>
      <c r="F38" s="10" t="n">
        <v>163</v>
      </c>
      <c r="G38" s="10" t="n">
        <v>542</v>
      </c>
      <c r="H38" s="11">
        <f>IF($A38="","",IFERROR(B38/C38,0))</f>
        <v/>
      </c>
      <c r="I38" s="11">
        <f>IF($A38="","",IFERROR(B38/C38,0))</f>
        <v/>
      </c>
      <c r="J38" s="11">
        <f>IF($A38="","",IFERROR((C38-B38)/C38,0))</f>
        <v/>
      </c>
      <c r="K38" s="13">
        <f>IF($A38="","",D38)</f>
        <v/>
      </c>
      <c r="L38" s="13">
        <f>IF($A38="","",E38)</f>
        <v/>
      </c>
      <c r="M38" s="12">
        <f>IF($A38="","",F38)</f>
        <v/>
      </c>
      <c r="N38" s="14">
        <f>IF($A38="","",IFERROR(G38/Social!B38,0))</f>
        <v/>
      </c>
    </row>
    <row r="39" ht="22" customHeight="1">
      <c r="A39" s="9" t="n">
        <v>46286</v>
      </c>
      <c r="B39" s="10" t="n">
        <v>523</v>
      </c>
      <c r="C39" s="10" t="n">
        <v>564</v>
      </c>
      <c r="D39" s="13">
        <f>IF($A39="","",D39)</f>
        <v/>
      </c>
      <c r="E39" s="10" t="n">
        <v>164807.1250280472</v>
      </c>
      <c r="F39" s="10" t="n">
        <v>153</v>
      </c>
      <c r="G39" s="10" t="n">
        <v>609</v>
      </c>
      <c r="H39" s="11">
        <f>IF($A39="","",IFERROR(B39/C39,0))</f>
        <v/>
      </c>
      <c r="I39" s="11">
        <f>IF($A39="","",IFERROR(B39/C39,0))</f>
        <v/>
      </c>
      <c r="J39" s="11">
        <f>IF($A39="","",IFERROR((C39-B39)/C39,0))</f>
        <v/>
      </c>
      <c r="K39" s="13">
        <f>IF($A39="","",D39)</f>
        <v/>
      </c>
      <c r="L39" s="13">
        <f>IF($A39="","",E39)</f>
        <v/>
      </c>
      <c r="M39" s="12">
        <f>IF($A39="","",F39)</f>
        <v/>
      </c>
      <c r="N39" s="14">
        <f>IF($A39="","",IFERROR(G39/Social!B39,0))</f>
        <v/>
      </c>
    </row>
    <row r="40" ht="22" customHeight="1">
      <c r="A40" s="9" t="n">
        <v>46293</v>
      </c>
      <c r="B40" s="10" t="n">
        <v>522</v>
      </c>
      <c r="C40" s="10" t="n">
        <v>567</v>
      </c>
      <c r="D40" s="13">
        <f>IF($A40="","",D40)</f>
        <v/>
      </c>
      <c r="E40" s="10" t="n">
        <v>157702.4151921524</v>
      </c>
      <c r="F40" s="10" t="n">
        <v>179</v>
      </c>
      <c r="G40" s="10" t="n">
        <v>668</v>
      </c>
      <c r="H40" s="11">
        <f>IF($A40="","",IFERROR(B40/C40,0))</f>
        <v/>
      </c>
      <c r="I40" s="11">
        <f>IF($A40="","",IFERROR(B40/C40,0))</f>
        <v/>
      </c>
      <c r="J40" s="11">
        <f>IF($A40="","",IFERROR((C40-B40)/C40,0))</f>
        <v/>
      </c>
      <c r="K40" s="13">
        <f>IF($A40="","",D40)</f>
        <v/>
      </c>
      <c r="L40" s="13">
        <f>IF($A40="","",E40)</f>
        <v/>
      </c>
      <c r="M40" s="12">
        <f>IF($A40="","",F40)</f>
        <v/>
      </c>
      <c r="N40" s="14">
        <f>IF($A40="","",IFERROR(G40/Social!B40,0))</f>
        <v/>
      </c>
    </row>
    <row r="41" ht="22" customHeight="1">
      <c r="A41" s="9" t="n">
        <v>46300</v>
      </c>
      <c r="B41" s="10" t="n">
        <v>529</v>
      </c>
      <c r="C41" s="10" t="n">
        <v>570</v>
      </c>
      <c r="D41" s="13">
        <f>IF($A41="","",D41)</f>
        <v/>
      </c>
      <c r="E41" s="10" t="n">
        <v>166613.589376416</v>
      </c>
      <c r="F41" s="10" t="n">
        <v>186</v>
      </c>
      <c r="G41" s="10" t="n">
        <v>555</v>
      </c>
      <c r="H41" s="11">
        <f>IF($A41="","",IFERROR(B41/C41,0))</f>
        <v/>
      </c>
      <c r="I41" s="11">
        <f>IF($A41="","",IFERROR(B41/C41,0))</f>
        <v/>
      </c>
      <c r="J41" s="11">
        <f>IF($A41="","",IFERROR((C41-B41)/C41,0))</f>
        <v/>
      </c>
      <c r="K41" s="13">
        <f>IF($A41="","",D41)</f>
        <v/>
      </c>
      <c r="L41" s="13">
        <f>IF($A41="","",E41)</f>
        <v/>
      </c>
      <c r="M41" s="12">
        <f>IF($A41="","",F41)</f>
        <v/>
      </c>
      <c r="N41" s="14">
        <f>IF($A41="","",IFERROR(G41/Social!B41,0))</f>
        <v/>
      </c>
    </row>
    <row r="42" ht="22" customHeight="1">
      <c r="A42" s="9" t="n">
        <v>46307</v>
      </c>
      <c r="B42" s="10" t="n">
        <v>524</v>
      </c>
      <c r="C42" s="10" t="n">
        <v>573</v>
      </c>
      <c r="D42" s="13">
        <f>IF($A42="","",D42)</f>
        <v/>
      </c>
      <c r="E42" s="10" t="n">
        <v>163079.832940889</v>
      </c>
      <c r="F42" s="10" t="n">
        <v>146</v>
      </c>
      <c r="G42" s="10" t="n">
        <v>700</v>
      </c>
      <c r="H42" s="11">
        <f>IF($A42="","",IFERROR(B42/C42,0))</f>
        <v/>
      </c>
      <c r="I42" s="11">
        <f>IF($A42="","",IFERROR(B42/C42,0))</f>
        <v/>
      </c>
      <c r="J42" s="11">
        <f>IF($A42="","",IFERROR((C42-B42)/C42,0))</f>
        <v/>
      </c>
      <c r="K42" s="13">
        <f>IF($A42="","",D42)</f>
        <v/>
      </c>
      <c r="L42" s="13">
        <f>IF($A42="","",E42)</f>
        <v/>
      </c>
      <c r="M42" s="12">
        <f>IF($A42="","",F42)</f>
        <v/>
      </c>
      <c r="N42" s="14">
        <f>IF($A42="","",IFERROR(G42/Social!B42,0))</f>
        <v/>
      </c>
    </row>
    <row r="43" ht="22" customHeight="1">
      <c r="A43" s="9" t="n">
        <v>46314</v>
      </c>
      <c r="B43" s="10" t="n">
        <v>529</v>
      </c>
      <c r="C43" s="10" t="n">
        <v>575</v>
      </c>
      <c r="D43" s="13">
        <f>IF($A43="","",D43)</f>
        <v/>
      </c>
      <c r="E43" s="10" t="n">
        <v>171366.1936006684</v>
      </c>
      <c r="F43" s="10" t="n">
        <v>165</v>
      </c>
      <c r="G43" s="10" t="n">
        <v>736</v>
      </c>
      <c r="H43" s="11">
        <f>IF($A43="","",IFERROR(B43/C43,0))</f>
        <v/>
      </c>
      <c r="I43" s="11">
        <f>IF($A43="","",IFERROR(B43/C43,0))</f>
        <v/>
      </c>
      <c r="J43" s="11">
        <f>IF($A43="","",IFERROR((C43-B43)/C43,0))</f>
        <v/>
      </c>
      <c r="K43" s="13">
        <f>IF($A43="","",D43)</f>
        <v/>
      </c>
      <c r="L43" s="13">
        <f>IF($A43="","",E43)</f>
        <v/>
      </c>
      <c r="M43" s="12">
        <f>IF($A43="","",F43)</f>
        <v/>
      </c>
      <c r="N43" s="14">
        <f>IF($A43="","",IFERROR(G43/Social!B43,0))</f>
        <v/>
      </c>
    </row>
    <row r="44" ht="22" customHeight="1">
      <c r="A44" s="9" t="n">
        <v>46321</v>
      </c>
      <c r="B44" s="10" t="n">
        <v>530</v>
      </c>
      <c r="C44" s="10" t="n">
        <v>578</v>
      </c>
      <c r="D44" s="13">
        <f>IF($A44="","",D44)</f>
        <v/>
      </c>
      <c r="E44" s="10" t="n">
        <v>166395.1342295119</v>
      </c>
      <c r="F44" s="10" t="n">
        <v>166</v>
      </c>
      <c r="G44" s="10" t="n">
        <v>754</v>
      </c>
      <c r="H44" s="11">
        <f>IF($A44="","",IFERROR(B44/C44,0))</f>
        <v/>
      </c>
      <c r="I44" s="11">
        <f>IF($A44="","",IFERROR(B44/C44,0))</f>
        <v/>
      </c>
      <c r="J44" s="11">
        <f>IF($A44="","",IFERROR((C44-B44)/C44,0))</f>
        <v/>
      </c>
      <c r="K44" s="13">
        <f>IF($A44="","",D44)</f>
        <v/>
      </c>
      <c r="L44" s="13">
        <f>IF($A44="","",E44)</f>
        <v/>
      </c>
      <c r="M44" s="12">
        <f>IF($A44="","",F44)</f>
        <v/>
      </c>
      <c r="N44" s="14">
        <f>IF($A44="","",IFERROR(G44/Social!B44,0))</f>
        <v/>
      </c>
    </row>
    <row r="45" ht="22" customHeight="1">
      <c r="A45" s="9" t="n">
        <v>46328</v>
      </c>
      <c r="B45" s="10" t="n">
        <v>549</v>
      </c>
      <c r="C45" s="10" t="n">
        <v>581</v>
      </c>
      <c r="D45" s="13">
        <f>IF($A45="","",D45)</f>
        <v/>
      </c>
      <c r="E45" s="10" t="n">
        <v>158200.735464102</v>
      </c>
      <c r="F45" s="10" t="n">
        <v>184</v>
      </c>
      <c r="G45" s="10" t="n">
        <v>747</v>
      </c>
      <c r="H45" s="11">
        <f>IF($A45="","",IFERROR(B45/C45,0))</f>
        <v/>
      </c>
      <c r="I45" s="11">
        <f>IF($A45="","",IFERROR(B45/C45,0))</f>
        <v/>
      </c>
      <c r="J45" s="11">
        <f>IF($A45="","",IFERROR((C45-B45)/C45,0))</f>
        <v/>
      </c>
      <c r="K45" s="13">
        <f>IF($A45="","",D45)</f>
        <v/>
      </c>
      <c r="L45" s="13">
        <f>IF($A45="","",E45)</f>
        <v/>
      </c>
      <c r="M45" s="12">
        <f>IF($A45="","",F45)</f>
        <v/>
      </c>
      <c r="N45" s="14">
        <f>IF($A45="","",IFERROR(G45/Social!B45,0))</f>
        <v/>
      </c>
    </row>
    <row r="46" ht="22" customHeight="1">
      <c r="A46" s="9" t="n">
        <v>46335</v>
      </c>
      <c r="B46" s="10" t="n">
        <v>527</v>
      </c>
      <c r="C46" s="10" t="n">
        <v>584</v>
      </c>
      <c r="D46" s="13">
        <f>IF($A46="","",D46)</f>
        <v/>
      </c>
      <c r="E46" s="10" t="n">
        <v>179083.0042756266</v>
      </c>
      <c r="F46" s="10" t="n">
        <v>198</v>
      </c>
      <c r="G46" s="10" t="n">
        <v>740</v>
      </c>
      <c r="H46" s="11">
        <f>IF($A46="","",IFERROR(B46/C46,0))</f>
        <v/>
      </c>
      <c r="I46" s="11">
        <f>IF($A46="","",IFERROR(B46/C46,0))</f>
        <v/>
      </c>
      <c r="J46" s="11">
        <f>IF($A46="","",IFERROR((C46-B46)/C46,0))</f>
        <v/>
      </c>
      <c r="K46" s="13">
        <f>IF($A46="","",D46)</f>
        <v/>
      </c>
      <c r="L46" s="13">
        <f>IF($A46="","",E46)</f>
        <v/>
      </c>
      <c r="M46" s="12">
        <f>IF($A46="","",F46)</f>
        <v/>
      </c>
      <c r="N46" s="14">
        <f>IF($A46="","",IFERROR(G46/Social!B46,0))</f>
        <v/>
      </c>
    </row>
    <row r="47" ht="22" customHeight="1">
      <c r="A47" s="9" t="n">
        <v>46342</v>
      </c>
      <c r="B47" s="10" t="n">
        <v>537</v>
      </c>
      <c r="C47" s="10" t="n">
        <v>586</v>
      </c>
      <c r="D47" s="13">
        <f>IF($A47="","",D47)</f>
        <v/>
      </c>
      <c r="E47" s="10" t="n">
        <v>174310.9597036872</v>
      </c>
      <c r="F47" s="10" t="n">
        <v>171</v>
      </c>
      <c r="G47" s="10" t="n">
        <v>725</v>
      </c>
      <c r="H47" s="11">
        <f>IF($A47="","",IFERROR(B47/C47,0))</f>
        <v/>
      </c>
      <c r="I47" s="11">
        <f>IF($A47="","",IFERROR(B47/C47,0))</f>
        <v/>
      </c>
      <c r="J47" s="11">
        <f>IF($A47="","",IFERROR((C47-B47)/C47,0))</f>
        <v/>
      </c>
      <c r="K47" s="13">
        <f>IF($A47="","",D47)</f>
        <v/>
      </c>
      <c r="L47" s="13">
        <f>IF($A47="","",E47)</f>
        <v/>
      </c>
      <c r="M47" s="12">
        <f>IF($A47="","",F47)</f>
        <v/>
      </c>
      <c r="N47" s="14">
        <f>IF($A47="","",IFERROR(G47/Social!B47,0))</f>
        <v/>
      </c>
    </row>
    <row r="48" ht="22" customHeight="1">
      <c r="A48" s="9" t="n">
        <v>46349</v>
      </c>
      <c r="B48" s="10" t="n">
        <v>551</v>
      </c>
      <c r="C48" s="10" t="n">
        <v>589</v>
      </c>
      <c r="D48" s="13">
        <f>IF($A48="","",D48)</f>
        <v/>
      </c>
      <c r="E48" s="10" t="n">
        <v>183222.9958848016</v>
      </c>
      <c r="F48" s="10" t="n">
        <v>170</v>
      </c>
      <c r="G48" s="10" t="n">
        <v>749</v>
      </c>
      <c r="H48" s="11">
        <f>IF($A48="","",IFERROR(B48/C48,0))</f>
        <v/>
      </c>
      <c r="I48" s="11">
        <f>IF($A48="","",IFERROR(B48/C48,0))</f>
        <v/>
      </c>
      <c r="J48" s="11">
        <f>IF($A48="","",IFERROR((C48-B48)/C48,0))</f>
        <v/>
      </c>
      <c r="K48" s="13">
        <f>IF($A48="","",D48)</f>
        <v/>
      </c>
      <c r="L48" s="13">
        <f>IF($A48="","",E48)</f>
        <v/>
      </c>
      <c r="M48" s="12">
        <f>IF($A48="","",F48)</f>
        <v/>
      </c>
      <c r="N48" s="14">
        <f>IF($A48="","",IFERROR(G48/Social!B48,0))</f>
        <v/>
      </c>
    </row>
    <row r="49" ht="22" customHeight="1">
      <c r="A49" s="9" t="n">
        <v>46356</v>
      </c>
      <c r="B49" s="10" t="n">
        <v>552</v>
      </c>
      <c r="C49" s="10" t="n">
        <v>592</v>
      </c>
      <c r="D49" s="13">
        <f>IF($A49="","",D49)</f>
        <v/>
      </c>
      <c r="E49" s="10" t="n">
        <v>191113.3312953944</v>
      </c>
      <c r="F49" s="10" t="n">
        <v>185</v>
      </c>
      <c r="G49" s="10" t="n">
        <v>745</v>
      </c>
      <c r="H49" s="11">
        <f>IF($A49="","",IFERROR(B49/C49,0))</f>
        <v/>
      </c>
      <c r="I49" s="11">
        <f>IF($A49="","",IFERROR(B49/C49,0))</f>
        <v/>
      </c>
      <c r="J49" s="11">
        <f>IF($A49="","",IFERROR((C49-B49)/C49,0))</f>
        <v/>
      </c>
      <c r="K49" s="13">
        <f>IF($A49="","",D49)</f>
        <v/>
      </c>
      <c r="L49" s="13">
        <f>IF($A49="","",E49)</f>
        <v/>
      </c>
      <c r="M49" s="12">
        <f>IF($A49="","",F49)</f>
        <v/>
      </c>
      <c r="N49" s="14">
        <f>IF($A49="","",IFERROR(G49/Social!B49,0))</f>
        <v/>
      </c>
    </row>
    <row r="50" ht="22" customHeight="1">
      <c r="A50" s="9" t="n">
        <v>46363</v>
      </c>
      <c r="B50" s="10" t="n">
        <v>554</v>
      </c>
      <c r="C50" s="10" t="n">
        <v>595</v>
      </c>
      <c r="D50" s="13">
        <f>IF($A50="","",D50)</f>
        <v/>
      </c>
      <c r="E50" s="10" t="n">
        <v>156752.8053323354</v>
      </c>
      <c r="F50" s="10" t="n">
        <v>167</v>
      </c>
      <c r="G50" s="10" t="n">
        <v>647</v>
      </c>
      <c r="H50" s="11">
        <f>IF($A50="","",IFERROR(B50/C50,0))</f>
        <v/>
      </c>
      <c r="I50" s="11">
        <f>IF($A50="","",IFERROR(B50/C50,0))</f>
        <v/>
      </c>
      <c r="J50" s="11">
        <f>IF($A50="","",IFERROR((C50-B50)/C50,0))</f>
        <v/>
      </c>
      <c r="K50" s="13">
        <f>IF($A50="","",D50)</f>
        <v/>
      </c>
      <c r="L50" s="13">
        <f>IF($A50="","",E50)</f>
        <v/>
      </c>
      <c r="M50" s="12">
        <f>IF($A50="","",F50)</f>
        <v/>
      </c>
      <c r="N50" s="14">
        <f>IF($A50="","",IFERROR(G50/Social!B50,0))</f>
        <v/>
      </c>
    </row>
    <row r="51" ht="22" customHeight="1">
      <c r="A51" s="9" t="n">
        <v>46370</v>
      </c>
      <c r="B51" s="10" t="n">
        <v>557</v>
      </c>
      <c r="C51" s="10" t="n">
        <v>598</v>
      </c>
      <c r="D51" s="13">
        <f>IF($A51="","",D51)</f>
        <v/>
      </c>
      <c r="E51" s="10" t="n">
        <v>178431.2681760298</v>
      </c>
      <c r="F51" s="10" t="n">
        <v>167</v>
      </c>
      <c r="G51" s="10" t="n">
        <v>776</v>
      </c>
      <c r="H51" s="11">
        <f>IF($A51="","",IFERROR(B51/C51,0))</f>
        <v/>
      </c>
      <c r="I51" s="11">
        <f>IF($A51="","",IFERROR(B51/C51,0))</f>
        <v/>
      </c>
      <c r="J51" s="11">
        <f>IF($A51="","",IFERROR((C51-B51)/C51,0))</f>
        <v/>
      </c>
      <c r="K51" s="13">
        <f>IF($A51="","",D51)</f>
        <v/>
      </c>
      <c r="L51" s="13">
        <f>IF($A51="","",E51)</f>
        <v/>
      </c>
      <c r="M51" s="12">
        <f>IF($A51="","",F51)</f>
        <v/>
      </c>
      <c r="N51" s="14">
        <f>IF($A51="","",IFERROR(G51/Social!B51,0))</f>
        <v/>
      </c>
    </row>
    <row r="52" ht="22" customHeight="1">
      <c r="A52" s="9" t="n">
        <v>46377</v>
      </c>
      <c r="B52" s="10" t="n">
        <v>578</v>
      </c>
      <c r="C52" s="10" t="n">
        <v>600</v>
      </c>
      <c r="D52" s="13">
        <f>IF($A52="","",D52)</f>
        <v/>
      </c>
      <c r="E52" s="10" t="n">
        <v>174352.8987497232</v>
      </c>
      <c r="F52" s="10" t="n">
        <v>180</v>
      </c>
      <c r="G52" s="10" t="n">
        <v>746</v>
      </c>
      <c r="H52" s="11">
        <f>IF($A52="","",IFERROR(B52/C52,0))</f>
        <v/>
      </c>
      <c r="I52" s="11">
        <f>IF($A52="","",IFERROR(B52/C52,0))</f>
        <v/>
      </c>
      <c r="J52" s="11">
        <f>IF($A52="","",IFERROR((C52-B52)/C52,0))</f>
        <v/>
      </c>
      <c r="K52" s="13">
        <f>IF($A52="","",D52)</f>
        <v/>
      </c>
      <c r="L52" s="13">
        <f>IF($A52="","",E52)</f>
        <v/>
      </c>
      <c r="M52" s="12">
        <f>IF($A52="","",F52)</f>
        <v/>
      </c>
      <c r="N52" s="14">
        <f>IF($A52="","",IFERROR(G52/Social!B52,0))</f>
        <v/>
      </c>
    </row>
    <row r="53" ht="22" customHeight="1">
      <c r="A53" s="9" t="n">
        <v>46384</v>
      </c>
      <c r="B53" s="10" t="n">
        <v>574</v>
      </c>
      <c r="C53" s="10" t="n">
        <v>603</v>
      </c>
      <c r="D53" s="13">
        <f>IF($A53="","",D53)</f>
        <v/>
      </c>
      <c r="E53" s="10" t="n">
        <v>176001.0836705556</v>
      </c>
      <c r="F53" s="10" t="n">
        <v>176</v>
      </c>
      <c r="G53" s="10" t="n">
        <v>720</v>
      </c>
      <c r="H53" s="11">
        <f>IF($A53="","",IFERROR(B53/C53,0))</f>
        <v/>
      </c>
      <c r="I53" s="11">
        <f>IF($A53="","",IFERROR(B53/C53,0))</f>
        <v/>
      </c>
      <c r="J53" s="11">
        <f>IF($A53="","",IFERROR((C53-B53)/C53,0))</f>
        <v/>
      </c>
      <c r="K53" s="13">
        <f>IF($A53="","",D53)</f>
        <v/>
      </c>
      <c r="L53" s="13">
        <f>IF($A53="","",E53)</f>
        <v/>
      </c>
      <c r="M53" s="12">
        <f>IF($A53="","",F53)</f>
        <v/>
      </c>
      <c r="N53" s="14">
        <f>IF($A53="","",IFERROR(G53/Social!B53,0))</f>
        <v/>
      </c>
    </row>
    <row r="54" ht="22" customHeight="1">
      <c r="A54" s="9" t="n">
        <v>46391</v>
      </c>
      <c r="B54" s="10" t="n">
        <v>599</v>
      </c>
      <c r="C54" s="10" t="n">
        <v>606</v>
      </c>
      <c r="D54" s="13">
        <f>IF($A54="","",D54)</f>
        <v/>
      </c>
      <c r="E54" s="10" t="n">
        <v>197301.2976377619</v>
      </c>
      <c r="F54" s="10" t="n">
        <v>180</v>
      </c>
      <c r="G54" s="10" t="n">
        <v>773</v>
      </c>
      <c r="H54" s="11">
        <f>IF($A54="","",IFERROR(B54/C54,0))</f>
        <v/>
      </c>
      <c r="I54" s="11">
        <f>IF($A54="","",IFERROR(B54/C54,0))</f>
        <v/>
      </c>
      <c r="J54" s="11">
        <f>IF($A54="","",IFERROR((C54-B54)/C54,0))</f>
        <v/>
      </c>
      <c r="K54" s="13">
        <f>IF($A54="","",D54)</f>
        <v/>
      </c>
      <c r="L54" s="13">
        <f>IF($A54="","",E54)</f>
        <v/>
      </c>
      <c r="M54" s="12">
        <f>IF($A54="","",F54)</f>
        <v/>
      </c>
      <c r="N54" s="14">
        <f>IF($A54="","",IFERROR(G54/Social!B54,0))</f>
        <v/>
      </c>
    </row>
    <row r="55" ht="22" customHeight="1">
      <c r="A55" s="9" t="n">
        <v>46398</v>
      </c>
      <c r="B55" s="10" t="n">
        <v>546</v>
      </c>
      <c r="C55" s="10" t="n">
        <v>609</v>
      </c>
      <c r="D55" s="13">
        <f>IF($A55="","",D55)</f>
        <v/>
      </c>
      <c r="E55" s="10" t="n">
        <v>167848.5690805267</v>
      </c>
      <c r="F55" s="10" t="n">
        <v>162</v>
      </c>
      <c r="G55" s="10" t="n">
        <v>789</v>
      </c>
      <c r="H55" s="11">
        <f>IF($A55="","",IFERROR(B55/C55,0))</f>
        <v/>
      </c>
      <c r="I55" s="11">
        <f>IF($A55="","",IFERROR(B55/C55,0))</f>
        <v/>
      </c>
      <c r="J55" s="11">
        <f>IF($A55="","",IFERROR((C55-B55)/C55,0))</f>
        <v/>
      </c>
      <c r="K55" s="13">
        <f>IF($A55="","",D55)</f>
        <v/>
      </c>
      <c r="L55" s="13">
        <f>IF($A55="","",E55)</f>
        <v/>
      </c>
      <c r="M55" s="12">
        <f>IF($A55="","",F55)</f>
        <v/>
      </c>
      <c r="N55" s="14">
        <f>IF($A55="","",IFERROR(G55/Social!B55,0))</f>
        <v/>
      </c>
    </row>
    <row r="56" ht="22" customHeight="1">
      <c r="A56" s="9" t="n">
        <v>46405</v>
      </c>
      <c r="B56" s="10" t="n">
        <v>565</v>
      </c>
      <c r="C56" s="10" t="n">
        <v>611</v>
      </c>
      <c r="D56" s="13">
        <f>IF($A56="","",D56)</f>
        <v/>
      </c>
      <c r="E56" s="10" t="n">
        <v>136162.1376144876</v>
      </c>
      <c r="F56" s="10" t="n">
        <v>168</v>
      </c>
      <c r="G56" s="10" t="n">
        <v>846</v>
      </c>
      <c r="H56" s="11">
        <f>IF($A56="","",IFERROR(B56/C56,0))</f>
        <v/>
      </c>
      <c r="I56" s="11">
        <f>IF($A56="","",IFERROR(B56/C56,0))</f>
        <v/>
      </c>
      <c r="J56" s="11">
        <f>IF($A56="","",IFERROR((C56-B56)/C56,0))</f>
        <v/>
      </c>
      <c r="K56" s="13">
        <f>IF($A56="","",D56)</f>
        <v/>
      </c>
      <c r="L56" s="13">
        <f>IF($A56="","",E56)</f>
        <v/>
      </c>
      <c r="M56" s="12">
        <f>IF($A56="","",F56)</f>
        <v/>
      </c>
      <c r="N56" s="14">
        <f>IF($A56="","",IFERROR(G56/Social!B56,0))</f>
        <v/>
      </c>
    </row>
    <row r="57" ht="22" customHeight="1">
      <c r="A57" s="9" t="n">
        <v>46412</v>
      </c>
      <c r="B57" s="10" t="n">
        <v>555</v>
      </c>
      <c r="C57" s="10" t="n">
        <v>614</v>
      </c>
      <c r="D57" s="13">
        <f>IF($A57="","",D57)</f>
        <v/>
      </c>
      <c r="E57" s="10" t="n">
        <v>181213.6717862067</v>
      </c>
      <c r="F57" s="10" t="n">
        <v>184</v>
      </c>
      <c r="G57" s="10" t="n">
        <v>677</v>
      </c>
      <c r="H57" s="11">
        <f>IF($A57="","",IFERROR(B57/C57,0))</f>
        <v/>
      </c>
      <c r="I57" s="11">
        <f>IF($A57="","",IFERROR(B57/C57,0))</f>
        <v/>
      </c>
      <c r="J57" s="11">
        <f>IF($A57="","",IFERROR((C57-B57)/C57,0))</f>
        <v/>
      </c>
      <c r="K57" s="13">
        <f>IF($A57="","",D57)</f>
        <v/>
      </c>
      <c r="L57" s="13">
        <f>IF($A57="","",E57)</f>
        <v/>
      </c>
      <c r="M57" s="12">
        <f>IF($A57="","",F57)</f>
        <v/>
      </c>
      <c r="N57" s="14">
        <f>IF($A57="","",IFERROR(G57/Social!B57,0))</f>
        <v/>
      </c>
    </row>
    <row r="58" ht="22" customHeight="1">
      <c r="A58" s="9" t="n">
        <v>46419</v>
      </c>
      <c r="B58" s="10" t="n">
        <v>617</v>
      </c>
      <c r="C58" s="10" t="n">
        <v>617</v>
      </c>
      <c r="D58" s="13">
        <f>IF($A58="","",D58)</f>
        <v/>
      </c>
      <c r="E58" s="10" t="n">
        <v>183370.3248879951</v>
      </c>
      <c r="F58" s="10" t="n">
        <v>180</v>
      </c>
      <c r="G58" s="10" t="n">
        <v>867</v>
      </c>
      <c r="H58" s="11">
        <f>IF($A58="","",IFERROR(B58/C58,0))</f>
        <v/>
      </c>
      <c r="I58" s="11">
        <f>IF($A58="","",IFERROR(B58/C58,0))</f>
        <v/>
      </c>
      <c r="J58" s="11">
        <f>IF($A58="","",IFERROR((C58-B58)/C58,0))</f>
        <v/>
      </c>
      <c r="K58" s="13">
        <f>IF($A58="","",D58)</f>
        <v/>
      </c>
      <c r="L58" s="13">
        <f>IF($A58="","",E58)</f>
        <v/>
      </c>
      <c r="M58" s="12">
        <f>IF($A58="","",F58)</f>
        <v/>
      </c>
      <c r="N58" s="14">
        <f>IF($A58="","",IFERROR(G58/Social!B58,0))</f>
        <v/>
      </c>
    </row>
    <row r="59" ht="22" customHeight="1">
      <c r="A59" s="9" t="n">
        <v>46426</v>
      </c>
      <c r="B59" s="10" t="n">
        <v>597</v>
      </c>
      <c r="C59" s="10" t="n">
        <v>620</v>
      </c>
      <c r="D59" s="13">
        <f>IF($A59="","",D59)</f>
        <v/>
      </c>
      <c r="E59" s="10" t="n">
        <v>199809.4485146702</v>
      </c>
      <c r="F59" s="10" t="n">
        <v>161</v>
      </c>
      <c r="G59" s="10" t="n">
        <v>911</v>
      </c>
      <c r="H59" s="11">
        <f>IF($A59="","",IFERROR(B59/C59,0))</f>
        <v/>
      </c>
      <c r="I59" s="11">
        <f>IF($A59="","",IFERROR(B59/C59,0))</f>
        <v/>
      </c>
      <c r="J59" s="11">
        <f>IF($A59="","",IFERROR((C59-B59)/C59,0))</f>
        <v/>
      </c>
      <c r="K59" s="13">
        <f>IF($A59="","",D59)</f>
        <v/>
      </c>
      <c r="L59" s="13">
        <f>IF($A59="","",E59)</f>
        <v/>
      </c>
      <c r="M59" s="12">
        <f>IF($A59="","",F59)</f>
        <v/>
      </c>
      <c r="N59" s="14">
        <f>IF($A59="","",IFERROR(G59/Social!B59,0))</f>
        <v/>
      </c>
    </row>
    <row r="60" ht="22" customHeight="1">
      <c r="A60" s="9" t="n">
        <v>46433</v>
      </c>
      <c r="B60" s="10" t="n">
        <v>592</v>
      </c>
      <c r="C60" s="10" t="n">
        <v>622</v>
      </c>
      <c r="D60" s="13">
        <f>IF($A60="","",D60)</f>
        <v/>
      </c>
      <c r="E60" s="10" t="n">
        <v>173108.3522480459</v>
      </c>
      <c r="F60" s="10" t="n">
        <v>188</v>
      </c>
      <c r="G60" s="10" t="n">
        <v>764</v>
      </c>
      <c r="H60" s="11">
        <f>IF($A60="","",IFERROR(B60/C60,0))</f>
        <v/>
      </c>
      <c r="I60" s="11">
        <f>IF($A60="","",IFERROR(B60/C60,0))</f>
        <v/>
      </c>
      <c r="J60" s="11">
        <f>IF($A60="","",IFERROR((C60-B60)/C60,0))</f>
        <v/>
      </c>
      <c r="K60" s="13">
        <f>IF($A60="","",D60)</f>
        <v/>
      </c>
      <c r="L60" s="13">
        <f>IF($A60="","",E60)</f>
        <v/>
      </c>
      <c r="M60" s="12">
        <f>IF($A60="","",F60)</f>
        <v/>
      </c>
      <c r="N60" s="14">
        <f>IF($A60="","",IFERROR(G60/Social!B60,0))</f>
        <v/>
      </c>
    </row>
    <row r="61" ht="22" customHeight="1">
      <c r="A61" s="9" t="n">
        <v>46440</v>
      </c>
      <c r="B61" s="10" t="n">
        <v>612</v>
      </c>
      <c r="C61" s="10" t="n">
        <v>625</v>
      </c>
      <c r="D61" s="13">
        <f>IF($A61="","",D61)</f>
        <v/>
      </c>
      <c r="E61" s="10" t="n">
        <v>196647.2481749951</v>
      </c>
      <c r="F61" s="10" t="n">
        <v>152</v>
      </c>
      <c r="G61" s="10" t="n">
        <v>893</v>
      </c>
      <c r="H61" s="11">
        <f>IF($A61="","",IFERROR(B61/C61,0))</f>
        <v/>
      </c>
      <c r="I61" s="11">
        <f>IF($A61="","",IFERROR(B61/C61,0))</f>
        <v/>
      </c>
      <c r="J61" s="11">
        <f>IF($A61="","",IFERROR((C61-B61)/C61,0))</f>
        <v/>
      </c>
      <c r="K61" s="13">
        <f>IF($A61="","",D61)</f>
        <v/>
      </c>
      <c r="L61" s="13">
        <f>IF($A61="","",E61)</f>
        <v/>
      </c>
      <c r="M61" s="12">
        <f>IF($A61="","",F61)</f>
        <v/>
      </c>
      <c r="N61" s="14">
        <f>IF($A61="","",IFERROR(G61/Social!B61,0))</f>
        <v/>
      </c>
    </row>
    <row r="62" ht="22" customHeight="1">
      <c r="A62" s="9" t="n">
        <v>46447</v>
      </c>
      <c r="B62" s="10" t="n">
        <v>599</v>
      </c>
      <c r="C62" s="10" t="n">
        <v>628</v>
      </c>
      <c r="D62" s="13">
        <f>IF($A62="","",D62)</f>
        <v/>
      </c>
      <c r="E62" s="10" t="n">
        <v>181819.1153998592</v>
      </c>
      <c r="F62" s="10" t="n">
        <v>175</v>
      </c>
      <c r="G62" s="10" t="n">
        <v>845</v>
      </c>
      <c r="H62" s="11">
        <f>IF($A62="","",IFERROR(B62/C62,0))</f>
        <v/>
      </c>
      <c r="I62" s="11">
        <f>IF($A62="","",IFERROR(B62/C62,0))</f>
        <v/>
      </c>
      <c r="J62" s="11">
        <f>IF($A62="","",IFERROR((C62-B62)/C62,0))</f>
        <v/>
      </c>
      <c r="K62" s="13">
        <f>IF($A62="","",D62)</f>
        <v/>
      </c>
      <c r="L62" s="13">
        <f>IF($A62="","",E62)</f>
        <v/>
      </c>
      <c r="M62" s="12">
        <f>IF($A62="","",F62)</f>
        <v/>
      </c>
      <c r="N62" s="14">
        <f>IF($A62="","",IFERROR(G62/Social!B62,0))</f>
        <v/>
      </c>
    </row>
    <row r="63" ht="22" customHeight="1">
      <c r="A63" s="9" t="n">
        <v>46454</v>
      </c>
      <c r="B63" s="10" t="n">
        <v>605</v>
      </c>
      <c r="C63" s="10" t="n">
        <v>631</v>
      </c>
      <c r="D63" s="13">
        <f>IF($A63="","",D63)</f>
        <v/>
      </c>
      <c r="E63" s="10" t="n">
        <v>214803.0543069415</v>
      </c>
      <c r="F63" s="10" t="n">
        <v>165</v>
      </c>
      <c r="G63" s="10" t="n">
        <v>804</v>
      </c>
      <c r="H63" s="11">
        <f>IF($A63="","",IFERROR(B63/C63,0))</f>
        <v/>
      </c>
      <c r="I63" s="11">
        <f>IF($A63="","",IFERROR(B63/C63,0))</f>
        <v/>
      </c>
      <c r="J63" s="11">
        <f>IF($A63="","",IFERROR((C63-B63)/C63,0))</f>
        <v/>
      </c>
      <c r="K63" s="13">
        <f>IF($A63="","",D63)</f>
        <v/>
      </c>
      <c r="L63" s="13">
        <f>IF($A63="","",E63)</f>
        <v/>
      </c>
      <c r="M63" s="12">
        <f>IF($A63="","",F63)</f>
        <v/>
      </c>
      <c r="N63" s="14">
        <f>IF($A63="","",IFERROR(G63/Social!B63,0))</f>
        <v/>
      </c>
    </row>
    <row r="64" ht="22" customHeight="1">
      <c r="A64" s="9" t="n">
        <v>46461</v>
      </c>
      <c r="B64" s="10" t="n">
        <v>622</v>
      </c>
      <c r="C64" s="10" t="n">
        <v>633</v>
      </c>
      <c r="D64" s="13">
        <f>IF($A64="","",D64)</f>
        <v/>
      </c>
      <c r="E64" s="10" t="n">
        <v>182089.6907627016</v>
      </c>
      <c r="F64" s="10" t="n">
        <v>177</v>
      </c>
      <c r="G64" s="10" t="n">
        <v>751</v>
      </c>
      <c r="H64" s="11">
        <f>IF($A64="","",IFERROR(B64/C64,0))</f>
        <v/>
      </c>
      <c r="I64" s="11">
        <f>IF($A64="","",IFERROR(B64/C64,0))</f>
        <v/>
      </c>
      <c r="J64" s="11">
        <f>IF($A64="","",IFERROR((C64-B64)/C64,0))</f>
        <v/>
      </c>
      <c r="K64" s="13">
        <f>IF($A64="","",D64)</f>
        <v/>
      </c>
      <c r="L64" s="13">
        <f>IF($A64="","",E64)</f>
        <v/>
      </c>
      <c r="M64" s="12">
        <f>IF($A64="","",F64)</f>
        <v/>
      </c>
      <c r="N64" s="14">
        <f>IF($A64="","",IFERROR(G64/Social!B64,0))</f>
        <v/>
      </c>
    </row>
    <row r="65" ht="22" customHeight="1">
      <c r="A65" s="9" t="n">
        <v>46468</v>
      </c>
      <c r="B65" s="10" t="n">
        <v>611</v>
      </c>
      <c r="C65" s="10" t="n">
        <v>636</v>
      </c>
      <c r="D65" s="13">
        <f>IF($A65="","",D65)</f>
        <v/>
      </c>
      <c r="E65" s="10" t="n">
        <v>180897.2868531643</v>
      </c>
      <c r="F65" s="10" t="n">
        <v>178</v>
      </c>
      <c r="G65" s="10" t="n">
        <v>811</v>
      </c>
      <c r="H65" s="11">
        <f>IF($A65="","",IFERROR(B65/C65,0))</f>
        <v/>
      </c>
      <c r="I65" s="11">
        <f>IF($A65="","",IFERROR(B65/C65,0))</f>
        <v/>
      </c>
      <c r="J65" s="11">
        <f>IF($A65="","",IFERROR((C65-B65)/C65,0))</f>
        <v/>
      </c>
      <c r="K65" s="13">
        <f>IF($A65="","",D65)</f>
        <v/>
      </c>
      <c r="L65" s="13">
        <f>IF($A65="","",E65)</f>
        <v/>
      </c>
      <c r="M65" s="12">
        <f>IF($A65="","",F65)</f>
        <v/>
      </c>
      <c r="N65" s="14">
        <f>IF($A65="","",IFERROR(G65/Social!B65,0))</f>
        <v/>
      </c>
    </row>
    <row r="66" ht="22" customHeight="1">
      <c r="A66" s="9" t="n">
        <v>46475</v>
      </c>
      <c r="B66" s="10" t="n">
        <v>591</v>
      </c>
      <c r="C66" s="10" t="n">
        <v>639</v>
      </c>
      <c r="D66" s="13">
        <f>IF($A66="","",D66)</f>
        <v/>
      </c>
      <c r="E66" s="10" t="n">
        <v>188468.6508929072</v>
      </c>
      <c r="F66" s="10" t="n">
        <v>195</v>
      </c>
      <c r="G66" s="10" t="n">
        <v>740</v>
      </c>
      <c r="H66" s="11">
        <f>IF($A66="","",IFERROR(B66/C66,0))</f>
        <v/>
      </c>
      <c r="I66" s="11">
        <f>IF($A66="","",IFERROR(B66/C66,0))</f>
        <v/>
      </c>
      <c r="J66" s="11">
        <f>IF($A66="","",IFERROR((C66-B66)/C66,0))</f>
        <v/>
      </c>
      <c r="K66" s="13">
        <f>IF($A66="","",D66)</f>
        <v/>
      </c>
      <c r="L66" s="13">
        <f>IF($A66="","",E66)</f>
        <v/>
      </c>
      <c r="M66" s="12">
        <f>IF($A66="","",F66)</f>
        <v/>
      </c>
      <c r="N66" s="14">
        <f>IF($A66="","",IFERROR(G66/Social!B66,0))</f>
        <v/>
      </c>
    </row>
    <row r="67" ht="22" customHeight="1">
      <c r="A67" s="9" t="n">
        <v>46482</v>
      </c>
      <c r="B67" s="10" t="n">
        <v>624</v>
      </c>
      <c r="C67" s="10" t="n">
        <v>642</v>
      </c>
      <c r="D67" s="13">
        <f>IF($A67="","",D67)</f>
        <v/>
      </c>
      <c r="E67" s="10" t="n">
        <v>195930.5732227342</v>
      </c>
      <c r="F67" s="10" t="n">
        <v>179</v>
      </c>
      <c r="G67" s="10" t="n">
        <v>825</v>
      </c>
      <c r="H67" s="11">
        <f>IF($A67="","",IFERROR(B67/C67,0))</f>
        <v/>
      </c>
      <c r="I67" s="11">
        <f>IF($A67="","",IFERROR(B67/C67,0))</f>
        <v/>
      </c>
      <c r="J67" s="11">
        <f>IF($A67="","",IFERROR((C67-B67)/C67,0))</f>
        <v/>
      </c>
      <c r="K67" s="13">
        <f>IF($A67="","",D67)</f>
        <v/>
      </c>
      <c r="L67" s="13">
        <f>IF($A67="","",E67)</f>
        <v/>
      </c>
      <c r="M67" s="12">
        <f>IF($A67="","",F67)</f>
        <v/>
      </c>
      <c r="N67" s="14">
        <f>IF($A67="","",IFERROR(G67/Social!B67,0))</f>
        <v/>
      </c>
    </row>
    <row r="68" ht="22" customHeight="1">
      <c r="A68" s="9" t="n">
        <v>46489</v>
      </c>
      <c r="B68" s="10" t="n">
        <v>633</v>
      </c>
      <c r="C68" s="10" t="n">
        <v>644</v>
      </c>
      <c r="D68" s="13">
        <f>IF($A68="","",D68)</f>
        <v/>
      </c>
      <c r="E68" s="10" t="n">
        <v>198450.4891312893</v>
      </c>
      <c r="F68" s="10" t="n">
        <v>194</v>
      </c>
      <c r="G68" s="10" t="n">
        <v>888</v>
      </c>
      <c r="H68" s="11">
        <f>IF($A68="","",IFERROR(B68/C68,0))</f>
        <v/>
      </c>
      <c r="I68" s="11">
        <f>IF($A68="","",IFERROR(B68/C68,0))</f>
        <v/>
      </c>
      <c r="J68" s="11">
        <f>IF($A68="","",IFERROR((C68-B68)/C68,0))</f>
        <v/>
      </c>
      <c r="K68" s="13">
        <f>IF($A68="","",D68)</f>
        <v/>
      </c>
      <c r="L68" s="13">
        <f>IF($A68="","",E68)</f>
        <v/>
      </c>
      <c r="M68" s="12">
        <f>IF($A68="","",F68)</f>
        <v/>
      </c>
      <c r="N68" s="14">
        <f>IF($A68="","",IFERROR(G68/Social!B68,0))</f>
        <v/>
      </c>
    </row>
    <row r="69" ht="22" customHeight="1">
      <c r="A69" s="9" t="n">
        <v>46496</v>
      </c>
      <c r="B69" s="10" t="n">
        <v>636</v>
      </c>
      <c r="C69" s="10" t="n">
        <v>647</v>
      </c>
      <c r="D69" s="13">
        <f>IF($A69="","",D69)</f>
        <v/>
      </c>
      <c r="E69" s="10" t="n">
        <v>203209.1361196725</v>
      </c>
      <c r="F69" s="10" t="n">
        <v>196</v>
      </c>
      <c r="G69" s="10" t="n">
        <v>800</v>
      </c>
      <c r="H69" s="11">
        <f>IF($A69="","",IFERROR(B69/C69,0))</f>
        <v/>
      </c>
      <c r="I69" s="11">
        <f>IF($A69="","",IFERROR(B69/C69,0))</f>
        <v/>
      </c>
      <c r="J69" s="11">
        <f>IF($A69="","",IFERROR((C69-B69)/C69,0))</f>
        <v/>
      </c>
      <c r="K69" s="13">
        <f>IF($A69="","",D69)</f>
        <v/>
      </c>
      <c r="L69" s="13">
        <f>IF($A69="","",E69)</f>
        <v/>
      </c>
      <c r="M69" s="12">
        <f>IF($A69="","",F69)</f>
        <v/>
      </c>
      <c r="N69" s="14">
        <f>IF($A69="","",IFERROR(G69/Social!B69,0))</f>
        <v/>
      </c>
    </row>
    <row r="70" ht="22" customHeight="1">
      <c r="A70" s="9" t="n">
        <v>46503</v>
      </c>
      <c r="B70" s="10" t="n">
        <v>596</v>
      </c>
      <c r="C70" s="10" t="n">
        <v>650</v>
      </c>
      <c r="D70" s="13">
        <f>IF($A70="","",D70)</f>
        <v/>
      </c>
      <c r="E70" s="10" t="n">
        <v>161566.4951761595</v>
      </c>
      <c r="F70" s="10" t="n">
        <v>187</v>
      </c>
      <c r="G70" s="10" t="n">
        <v>850</v>
      </c>
      <c r="H70" s="11">
        <f>IF($A70="","",IFERROR(B70/C70,0))</f>
        <v/>
      </c>
      <c r="I70" s="11">
        <f>IF($A70="","",IFERROR(B70/C70,0))</f>
        <v/>
      </c>
      <c r="J70" s="11">
        <f>IF($A70="","",IFERROR((C70-B70)/C70,0))</f>
        <v/>
      </c>
      <c r="K70" s="13">
        <f>IF($A70="","",D70)</f>
        <v/>
      </c>
      <c r="L70" s="13">
        <f>IF($A70="","",E70)</f>
        <v/>
      </c>
      <c r="M70" s="12">
        <f>IF($A70="","",F70)</f>
        <v/>
      </c>
      <c r="N70" s="14">
        <f>IF($A70="","",IFERROR(G70/Social!B70,0))</f>
        <v/>
      </c>
    </row>
    <row r="71" ht="22" customHeight="1">
      <c r="A71" s="9" t="n">
        <v>46510</v>
      </c>
      <c r="B71" s="10" t="n">
        <v>643</v>
      </c>
      <c r="C71" s="10" t="n">
        <v>653</v>
      </c>
      <c r="D71" s="13">
        <f>IF($A71="","",D71)</f>
        <v/>
      </c>
      <c r="E71" s="10" t="n">
        <v>201000.364371986</v>
      </c>
      <c r="F71" s="10" t="n">
        <v>184</v>
      </c>
      <c r="G71" s="10" t="n">
        <v>868</v>
      </c>
      <c r="H71" s="11">
        <f>IF($A71="","",IFERROR(B71/C71,0))</f>
        <v/>
      </c>
      <c r="I71" s="11">
        <f>IF($A71="","",IFERROR(B71/C71,0))</f>
        <v/>
      </c>
      <c r="J71" s="11">
        <f>IF($A71="","",IFERROR((C71-B71)/C71,0))</f>
        <v/>
      </c>
      <c r="K71" s="13">
        <f>IF($A71="","",D71)</f>
        <v/>
      </c>
      <c r="L71" s="13">
        <f>IF($A71="","",E71)</f>
        <v/>
      </c>
      <c r="M71" s="12">
        <f>IF($A71="","",F71)</f>
        <v/>
      </c>
      <c r="N71" s="14">
        <f>IF($A71="","",IFERROR(G71/Social!B71,0))</f>
        <v/>
      </c>
    </row>
    <row r="72" ht="22" customHeight="1">
      <c r="A72" s="9" t="n"/>
      <c r="B72" s="10" t="n"/>
      <c r="C72" s="10" t="n"/>
      <c r="D72" s="13">
        <f>IF($A72="","",D72)</f>
        <v/>
      </c>
      <c r="E72" s="10" t="n"/>
      <c r="F72" s="10" t="n"/>
      <c r="G72" s="10" t="n"/>
      <c r="H72" s="11">
        <f>IF($A72="","",IFERROR(B72/C72,0))</f>
        <v/>
      </c>
      <c r="I72" s="11">
        <f>IF($A72="","",IFERROR(B72/C72,0))</f>
        <v/>
      </c>
      <c r="J72" s="11">
        <f>IF($A72="","",IFERROR((C72-B72)/C72,0))</f>
        <v/>
      </c>
      <c r="K72" s="13">
        <f>IF($A72="","",D72)</f>
        <v/>
      </c>
      <c r="L72" s="13">
        <f>IF($A72="","",E72)</f>
        <v/>
      </c>
      <c r="M72" s="12">
        <f>IF($A72="","",F72)</f>
        <v/>
      </c>
      <c r="N72" s="14">
        <f>IF($A72="","",IFERROR(G72/Social!B72,0))</f>
        <v/>
      </c>
    </row>
    <row r="73" ht="22" customHeight="1">
      <c r="A73" s="9" t="n"/>
      <c r="B73" s="10" t="n"/>
      <c r="C73" s="10" t="n"/>
      <c r="D73" s="13">
        <f>IF($A73="","",D73)</f>
        <v/>
      </c>
      <c r="E73" s="10" t="n"/>
      <c r="F73" s="10" t="n"/>
      <c r="G73" s="10" t="n"/>
      <c r="H73" s="11">
        <f>IF($A73="","",IFERROR(B73/C73,0))</f>
        <v/>
      </c>
      <c r="I73" s="11">
        <f>IF($A73="","",IFERROR(B73/C73,0))</f>
        <v/>
      </c>
      <c r="J73" s="11">
        <f>IF($A73="","",IFERROR((C73-B73)/C73,0))</f>
        <v/>
      </c>
      <c r="K73" s="13">
        <f>IF($A73="","",D73)</f>
        <v/>
      </c>
      <c r="L73" s="13">
        <f>IF($A73="","",E73)</f>
        <v/>
      </c>
      <c r="M73" s="12">
        <f>IF($A73="","",F73)</f>
        <v/>
      </c>
      <c r="N73" s="14">
        <f>IF($A73="","",IFERROR(G73/Social!B73,0))</f>
        <v/>
      </c>
    </row>
    <row r="74" ht="22" customHeight="1">
      <c r="A74" s="9" t="n"/>
      <c r="B74" s="10" t="n"/>
      <c r="C74" s="10" t="n"/>
      <c r="D74" s="13">
        <f>IF($A74="","",D74)</f>
        <v/>
      </c>
      <c r="E74" s="10" t="n"/>
      <c r="F74" s="10" t="n"/>
      <c r="G74" s="10" t="n"/>
      <c r="H74" s="11">
        <f>IF($A74="","",IFERROR(B74/C74,0))</f>
        <v/>
      </c>
      <c r="I74" s="11">
        <f>IF($A74="","",IFERROR(B74/C74,0))</f>
        <v/>
      </c>
      <c r="J74" s="11">
        <f>IF($A74="","",IFERROR((C74-B74)/C74,0))</f>
        <v/>
      </c>
      <c r="K74" s="13">
        <f>IF($A74="","",D74)</f>
        <v/>
      </c>
      <c r="L74" s="13">
        <f>IF($A74="","",E74)</f>
        <v/>
      </c>
      <c r="M74" s="12">
        <f>IF($A74="","",F74)</f>
        <v/>
      </c>
      <c r="N74" s="14">
        <f>IF($A74="","",IFERROR(G74/Social!B74,0))</f>
        <v/>
      </c>
    </row>
    <row r="75" ht="22" customHeight="1">
      <c r="A75" s="9" t="n"/>
      <c r="B75" s="10" t="n"/>
      <c r="C75" s="10" t="n"/>
      <c r="D75" s="13">
        <f>IF($A75="","",D75)</f>
        <v/>
      </c>
      <c r="E75" s="10" t="n"/>
      <c r="F75" s="10" t="n"/>
      <c r="G75" s="10" t="n"/>
      <c r="H75" s="11">
        <f>IF($A75="","",IFERROR(B75/C75,0))</f>
        <v/>
      </c>
      <c r="I75" s="11">
        <f>IF($A75="","",IFERROR(B75/C75,0))</f>
        <v/>
      </c>
      <c r="J75" s="11">
        <f>IF($A75="","",IFERROR((C75-B75)/C75,0))</f>
        <v/>
      </c>
      <c r="K75" s="13">
        <f>IF($A75="","",D75)</f>
        <v/>
      </c>
      <c r="L75" s="13">
        <f>IF($A75="","",E75)</f>
        <v/>
      </c>
      <c r="M75" s="12">
        <f>IF($A75="","",F75)</f>
        <v/>
      </c>
      <c r="N75" s="14">
        <f>IF($A75="","",IFERROR(G75/Social!B75,0))</f>
        <v/>
      </c>
    </row>
    <row r="76" ht="22" customHeight="1">
      <c r="A76" s="9" t="n"/>
      <c r="B76" s="10" t="n"/>
      <c r="C76" s="10" t="n"/>
      <c r="D76" s="13">
        <f>IF($A76="","",D76)</f>
        <v/>
      </c>
      <c r="E76" s="10" t="n"/>
      <c r="F76" s="10" t="n"/>
      <c r="G76" s="10" t="n"/>
      <c r="H76" s="11">
        <f>IF($A76="","",IFERROR(B76/C76,0))</f>
        <v/>
      </c>
      <c r="I76" s="11">
        <f>IF($A76="","",IFERROR(B76/C76,0))</f>
        <v/>
      </c>
      <c r="J76" s="11">
        <f>IF($A76="","",IFERROR((C76-B76)/C76,0))</f>
        <v/>
      </c>
      <c r="K76" s="13">
        <f>IF($A76="","",D76)</f>
        <v/>
      </c>
      <c r="L76" s="13">
        <f>IF($A76="","",E76)</f>
        <v/>
      </c>
      <c r="M76" s="12">
        <f>IF($A76="","",F76)</f>
        <v/>
      </c>
      <c r="N76" s="14">
        <f>IF($A76="","",IFERROR(G76/Social!B76,0))</f>
        <v/>
      </c>
    </row>
    <row r="77" ht="22" customHeight="1">
      <c r="A77" s="9" t="n"/>
      <c r="B77" s="10" t="n"/>
      <c r="C77" s="10" t="n"/>
      <c r="D77" s="13">
        <f>IF($A77="","",D77)</f>
        <v/>
      </c>
      <c r="E77" s="10" t="n"/>
      <c r="F77" s="10" t="n"/>
      <c r="G77" s="10" t="n"/>
      <c r="H77" s="11">
        <f>IF($A77="","",IFERROR(B77/C77,0))</f>
        <v/>
      </c>
      <c r="I77" s="11">
        <f>IF($A77="","",IFERROR(B77/C77,0))</f>
        <v/>
      </c>
      <c r="J77" s="11">
        <f>IF($A77="","",IFERROR((C77-B77)/C77,0))</f>
        <v/>
      </c>
      <c r="K77" s="13">
        <f>IF($A77="","",D77)</f>
        <v/>
      </c>
      <c r="L77" s="13">
        <f>IF($A77="","",E77)</f>
        <v/>
      </c>
      <c r="M77" s="12">
        <f>IF($A77="","",F77)</f>
        <v/>
      </c>
      <c r="N77" s="14">
        <f>IF($A77="","",IFERROR(G77/Social!B77,0))</f>
        <v/>
      </c>
    </row>
    <row r="78" ht="22" customHeight="1">
      <c r="A78" s="9" t="n"/>
      <c r="B78" s="10" t="n"/>
      <c r="C78" s="10" t="n"/>
      <c r="D78" s="13">
        <f>IF($A78="","",D78)</f>
        <v/>
      </c>
      <c r="E78" s="10" t="n"/>
      <c r="F78" s="10" t="n"/>
      <c r="G78" s="10" t="n"/>
      <c r="H78" s="11">
        <f>IF($A78="","",IFERROR(B78/C78,0))</f>
        <v/>
      </c>
      <c r="I78" s="11">
        <f>IF($A78="","",IFERROR(B78/C78,0))</f>
        <v/>
      </c>
      <c r="J78" s="11">
        <f>IF($A78="","",IFERROR((C78-B78)/C78,0))</f>
        <v/>
      </c>
      <c r="K78" s="13">
        <f>IF($A78="","",D78)</f>
        <v/>
      </c>
      <c r="L78" s="13">
        <f>IF($A78="","",E78)</f>
        <v/>
      </c>
      <c r="M78" s="12">
        <f>IF($A78="","",F78)</f>
        <v/>
      </c>
      <c r="N78" s="14">
        <f>IF($A78="","",IFERROR(G78/Social!B78,0))</f>
        <v/>
      </c>
    </row>
    <row r="79" ht="22" customHeight="1">
      <c r="A79" s="9" t="n"/>
      <c r="B79" s="10" t="n"/>
      <c r="C79" s="10" t="n"/>
      <c r="D79" s="13">
        <f>IF($A79="","",D79)</f>
        <v/>
      </c>
      <c r="E79" s="10" t="n"/>
      <c r="F79" s="10" t="n"/>
      <c r="G79" s="10" t="n"/>
      <c r="H79" s="11">
        <f>IF($A79="","",IFERROR(B79/C79,0))</f>
        <v/>
      </c>
      <c r="I79" s="11">
        <f>IF($A79="","",IFERROR(B79/C79,0))</f>
        <v/>
      </c>
      <c r="J79" s="11">
        <f>IF($A79="","",IFERROR((C79-B79)/C79,0))</f>
        <v/>
      </c>
      <c r="K79" s="13">
        <f>IF($A79="","",D79)</f>
        <v/>
      </c>
      <c r="L79" s="13">
        <f>IF($A79="","",E79)</f>
        <v/>
      </c>
      <c r="M79" s="12">
        <f>IF($A79="","",F79)</f>
        <v/>
      </c>
      <c r="N79" s="14">
        <f>IF($A79="","",IFERROR(G79/Social!B79,0))</f>
        <v/>
      </c>
    </row>
    <row r="80" ht="22" customHeight="1">
      <c r="A80" s="9" t="n"/>
      <c r="B80" s="10" t="n"/>
      <c r="C80" s="10" t="n"/>
      <c r="D80" s="13">
        <f>IF($A80="","",D80)</f>
        <v/>
      </c>
      <c r="E80" s="10" t="n"/>
      <c r="F80" s="10" t="n"/>
      <c r="G80" s="10" t="n"/>
      <c r="H80" s="11">
        <f>IF($A80="","",IFERROR(B80/C80,0))</f>
        <v/>
      </c>
      <c r="I80" s="11">
        <f>IF($A80="","",IFERROR(B80/C80,0))</f>
        <v/>
      </c>
      <c r="J80" s="11">
        <f>IF($A80="","",IFERROR((C80-B80)/C80,0))</f>
        <v/>
      </c>
      <c r="K80" s="13">
        <f>IF($A80="","",D80)</f>
        <v/>
      </c>
      <c r="L80" s="13">
        <f>IF($A80="","",E80)</f>
        <v/>
      </c>
      <c r="M80" s="12">
        <f>IF($A80="","",F80)</f>
        <v/>
      </c>
      <c r="N80" s="14">
        <f>IF($A80="","",IFERROR(G80/Social!B80,0))</f>
        <v/>
      </c>
    </row>
    <row r="81" ht="22" customHeight="1">
      <c r="A81" s="9" t="n"/>
      <c r="B81" s="10" t="n"/>
      <c r="C81" s="10" t="n"/>
      <c r="D81" s="13">
        <f>IF($A81="","",D81)</f>
        <v/>
      </c>
      <c r="E81" s="10" t="n"/>
      <c r="F81" s="10" t="n"/>
      <c r="G81" s="10" t="n"/>
      <c r="H81" s="11">
        <f>IF($A81="","",IFERROR(B81/C81,0))</f>
        <v/>
      </c>
      <c r="I81" s="11">
        <f>IF($A81="","",IFERROR(B81/C81,0))</f>
        <v/>
      </c>
      <c r="J81" s="11">
        <f>IF($A81="","",IFERROR((C81-B81)/C81,0))</f>
        <v/>
      </c>
      <c r="K81" s="13">
        <f>IF($A81="","",D81)</f>
        <v/>
      </c>
      <c r="L81" s="13">
        <f>IF($A81="","",E81)</f>
        <v/>
      </c>
      <c r="M81" s="12">
        <f>IF($A81="","",F81)</f>
        <v/>
      </c>
      <c r="N81" s="14">
        <f>IF($A81="","",IFERROR(G81/Social!B81,0))</f>
        <v/>
      </c>
    </row>
    <row r="82" ht="22" customHeight="1">
      <c r="A82" s="9" t="n"/>
      <c r="B82" s="10" t="n"/>
      <c r="C82" s="10" t="n"/>
      <c r="D82" s="13">
        <f>IF($A82="","",D82)</f>
        <v/>
      </c>
      <c r="E82" s="10" t="n"/>
      <c r="F82" s="10" t="n"/>
      <c r="G82" s="10" t="n"/>
      <c r="H82" s="11">
        <f>IF($A82="","",IFERROR(B82/C82,0))</f>
        <v/>
      </c>
      <c r="I82" s="11">
        <f>IF($A82="","",IFERROR(B82/C82,0))</f>
        <v/>
      </c>
      <c r="J82" s="11">
        <f>IF($A82="","",IFERROR((C82-B82)/C82,0))</f>
        <v/>
      </c>
      <c r="K82" s="13">
        <f>IF($A82="","",D82)</f>
        <v/>
      </c>
      <c r="L82" s="13">
        <f>IF($A82="","",E82)</f>
        <v/>
      </c>
      <c r="M82" s="12">
        <f>IF($A82="","",F82)</f>
        <v/>
      </c>
      <c r="N82" s="14">
        <f>IF($A82="","",IFERROR(G82/Social!B82,0))</f>
        <v/>
      </c>
    </row>
    <row r="83" ht="22" customHeight="1">
      <c r="A83" s="9" t="n"/>
      <c r="B83" s="10" t="n"/>
      <c r="C83" s="10" t="n"/>
      <c r="D83" s="13">
        <f>IF($A83="","",D83)</f>
        <v/>
      </c>
      <c r="E83" s="10" t="n"/>
      <c r="F83" s="10" t="n"/>
      <c r="G83" s="10" t="n"/>
      <c r="H83" s="11">
        <f>IF($A83="","",IFERROR(B83/C83,0))</f>
        <v/>
      </c>
      <c r="I83" s="11">
        <f>IF($A83="","",IFERROR(B83/C83,0))</f>
        <v/>
      </c>
      <c r="J83" s="11">
        <f>IF($A83="","",IFERROR((C83-B83)/C83,0))</f>
        <v/>
      </c>
      <c r="K83" s="13">
        <f>IF($A83="","",D83)</f>
        <v/>
      </c>
      <c r="L83" s="13">
        <f>IF($A83="","",E83)</f>
        <v/>
      </c>
      <c r="M83" s="12">
        <f>IF($A83="","",F83)</f>
        <v/>
      </c>
      <c r="N83" s="14">
        <f>IF($A83="","",IFERROR(G83/Social!B83,0))</f>
        <v/>
      </c>
    </row>
    <row r="84" ht="22" customHeight="1">
      <c r="A84" s="9" t="n"/>
      <c r="B84" s="10" t="n"/>
      <c r="C84" s="10" t="n"/>
      <c r="D84" s="13">
        <f>IF($A84="","",D84)</f>
        <v/>
      </c>
      <c r="E84" s="10" t="n"/>
      <c r="F84" s="10" t="n"/>
      <c r="G84" s="10" t="n"/>
      <c r="H84" s="11">
        <f>IF($A84="","",IFERROR(B84/C84,0))</f>
        <v/>
      </c>
      <c r="I84" s="11">
        <f>IF($A84="","",IFERROR(B84/C84,0))</f>
        <v/>
      </c>
      <c r="J84" s="11">
        <f>IF($A84="","",IFERROR((C84-B84)/C84,0))</f>
        <v/>
      </c>
      <c r="K84" s="13">
        <f>IF($A84="","",D84)</f>
        <v/>
      </c>
      <c r="L84" s="13">
        <f>IF($A84="","",E84)</f>
        <v/>
      </c>
      <c r="M84" s="12">
        <f>IF($A84="","",F84)</f>
        <v/>
      </c>
      <c r="N84" s="14">
        <f>IF($A84="","",IFERROR(G84/Social!B84,0))</f>
        <v/>
      </c>
    </row>
    <row r="85" ht="22" customHeight="1">
      <c r="A85" s="9" t="n"/>
      <c r="B85" s="10" t="n"/>
      <c r="C85" s="10" t="n"/>
      <c r="D85" s="13">
        <f>IF($A85="","",D85)</f>
        <v/>
      </c>
      <c r="E85" s="10" t="n"/>
      <c r="F85" s="10" t="n"/>
      <c r="G85" s="10" t="n"/>
      <c r="H85" s="11">
        <f>IF($A85="","",IFERROR(B85/C85,0))</f>
        <v/>
      </c>
      <c r="I85" s="11">
        <f>IF($A85="","",IFERROR(B85/C85,0))</f>
        <v/>
      </c>
      <c r="J85" s="11">
        <f>IF($A85="","",IFERROR((C85-B85)/C85,0))</f>
        <v/>
      </c>
      <c r="K85" s="13">
        <f>IF($A85="","",D85)</f>
        <v/>
      </c>
      <c r="L85" s="13">
        <f>IF($A85="","",E85)</f>
        <v/>
      </c>
      <c r="M85" s="12">
        <f>IF($A85="","",F85)</f>
        <v/>
      </c>
      <c r="N85" s="14">
        <f>IF($A85="","",IFERROR(G85/Social!B85,0))</f>
        <v/>
      </c>
    </row>
    <row r="86" ht="22" customHeight="1">
      <c r="A86" s="9" t="n"/>
      <c r="B86" s="10" t="n"/>
      <c r="C86" s="10" t="n"/>
      <c r="D86" s="13">
        <f>IF($A86="","",D86)</f>
        <v/>
      </c>
      <c r="E86" s="10" t="n"/>
      <c r="F86" s="10" t="n"/>
      <c r="G86" s="10" t="n"/>
      <c r="H86" s="11">
        <f>IF($A86="","",IFERROR(B86/C86,0))</f>
        <v/>
      </c>
      <c r="I86" s="11">
        <f>IF($A86="","",IFERROR(B86/C86,0))</f>
        <v/>
      </c>
      <c r="J86" s="11">
        <f>IF($A86="","",IFERROR((C86-B86)/C86,0))</f>
        <v/>
      </c>
      <c r="K86" s="13">
        <f>IF($A86="","",D86)</f>
        <v/>
      </c>
      <c r="L86" s="13">
        <f>IF($A86="","",E86)</f>
        <v/>
      </c>
      <c r="M86" s="12">
        <f>IF($A86="","",F86)</f>
        <v/>
      </c>
      <c r="N86" s="14">
        <f>IF($A86="","",IFERROR(G86/Social!B86,0))</f>
        <v/>
      </c>
    </row>
    <row r="87" ht="22" customHeight="1">
      <c r="A87" s="9" t="n"/>
      <c r="B87" s="10" t="n"/>
      <c r="C87" s="10" t="n"/>
      <c r="D87" s="13">
        <f>IF($A87="","",D87)</f>
        <v/>
      </c>
      <c r="E87" s="10" t="n"/>
      <c r="F87" s="10" t="n"/>
      <c r="G87" s="10" t="n"/>
      <c r="H87" s="11">
        <f>IF($A87="","",IFERROR(B87/C87,0))</f>
        <v/>
      </c>
      <c r="I87" s="11">
        <f>IF($A87="","",IFERROR(B87/C87,0))</f>
        <v/>
      </c>
      <c r="J87" s="11">
        <f>IF($A87="","",IFERROR((C87-B87)/C87,0))</f>
        <v/>
      </c>
      <c r="K87" s="13">
        <f>IF($A87="","",D87)</f>
        <v/>
      </c>
      <c r="L87" s="13">
        <f>IF($A87="","",E87)</f>
        <v/>
      </c>
      <c r="M87" s="12">
        <f>IF($A87="","",F87)</f>
        <v/>
      </c>
      <c r="N87" s="14">
        <f>IF($A87="","",IFERROR(G87/Social!B87,0))</f>
        <v/>
      </c>
    </row>
    <row r="88" ht="22" customHeight="1">
      <c r="A88" s="9" t="n"/>
      <c r="B88" s="10" t="n"/>
      <c r="C88" s="10" t="n"/>
      <c r="D88" s="13">
        <f>IF($A88="","",D88)</f>
        <v/>
      </c>
      <c r="E88" s="10" t="n"/>
      <c r="F88" s="10" t="n"/>
      <c r="G88" s="10" t="n"/>
      <c r="H88" s="11">
        <f>IF($A88="","",IFERROR(B88/C88,0))</f>
        <v/>
      </c>
      <c r="I88" s="11">
        <f>IF($A88="","",IFERROR(B88/C88,0))</f>
        <v/>
      </c>
      <c r="J88" s="11">
        <f>IF($A88="","",IFERROR((C88-B88)/C88,0))</f>
        <v/>
      </c>
      <c r="K88" s="13">
        <f>IF($A88="","",D88)</f>
        <v/>
      </c>
      <c r="L88" s="13">
        <f>IF($A88="","",E88)</f>
        <v/>
      </c>
      <c r="M88" s="12">
        <f>IF($A88="","",F88)</f>
        <v/>
      </c>
      <c r="N88" s="14">
        <f>IF($A88="","",IFERROR(G88/Social!B88,0))</f>
        <v/>
      </c>
    </row>
    <row r="89" ht="22" customHeight="1">
      <c r="A89" s="9" t="n"/>
      <c r="B89" s="10" t="n"/>
      <c r="C89" s="10" t="n"/>
      <c r="D89" s="13">
        <f>IF($A89="","",D89)</f>
        <v/>
      </c>
      <c r="E89" s="10" t="n"/>
      <c r="F89" s="10" t="n"/>
      <c r="G89" s="10" t="n"/>
      <c r="H89" s="11">
        <f>IF($A89="","",IFERROR(B89/C89,0))</f>
        <v/>
      </c>
      <c r="I89" s="11">
        <f>IF($A89="","",IFERROR(B89/C89,0))</f>
        <v/>
      </c>
      <c r="J89" s="11">
        <f>IF($A89="","",IFERROR((C89-B89)/C89,0))</f>
        <v/>
      </c>
      <c r="K89" s="13">
        <f>IF($A89="","",D89)</f>
        <v/>
      </c>
      <c r="L89" s="13">
        <f>IF($A89="","",E89)</f>
        <v/>
      </c>
      <c r="M89" s="12">
        <f>IF($A89="","",F89)</f>
        <v/>
      </c>
      <c r="N89" s="14">
        <f>IF($A89="","",IFERROR(G89/Social!B89,0))</f>
        <v/>
      </c>
    </row>
    <row r="90" ht="22" customHeight="1">
      <c r="A90" s="9" t="n"/>
      <c r="B90" s="10" t="n"/>
      <c r="C90" s="10" t="n"/>
      <c r="D90" s="13">
        <f>IF($A90="","",D90)</f>
        <v/>
      </c>
      <c r="E90" s="10" t="n"/>
      <c r="F90" s="10" t="n"/>
      <c r="G90" s="10" t="n"/>
      <c r="H90" s="11">
        <f>IF($A90="","",IFERROR(B90/C90,0))</f>
        <v/>
      </c>
      <c r="I90" s="11">
        <f>IF($A90="","",IFERROR(B90/C90,0))</f>
        <v/>
      </c>
      <c r="J90" s="11">
        <f>IF($A90="","",IFERROR((C90-B90)/C90,0))</f>
        <v/>
      </c>
      <c r="K90" s="13">
        <f>IF($A90="","",D90)</f>
        <v/>
      </c>
      <c r="L90" s="13">
        <f>IF($A90="","",E90)</f>
        <v/>
      </c>
      <c r="M90" s="12">
        <f>IF($A90="","",F90)</f>
        <v/>
      </c>
      <c r="N90" s="14">
        <f>IF($A90="","",IFERROR(G90/Social!B90,0))</f>
        <v/>
      </c>
    </row>
    <row r="91" ht="22" customHeight="1">
      <c r="A91" s="9" t="n"/>
      <c r="B91" s="10" t="n"/>
      <c r="C91" s="10" t="n"/>
      <c r="D91" s="13">
        <f>IF($A91="","",D91)</f>
        <v/>
      </c>
      <c r="E91" s="10" t="n"/>
      <c r="F91" s="10" t="n"/>
      <c r="G91" s="10" t="n"/>
      <c r="H91" s="11">
        <f>IF($A91="","",IFERROR(B91/C91,0))</f>
        <v/>
      </c>
      <c r="I91" s="11">
        <f>IF($A91="","",IFERROR(B91/C91,0))</f>
        <v/>
      </c>
      <c r="J91" s="11">
        <f>IF($A91="","",IFERROR((C91-B91)/C91,0))</f>
        <v/>
      </c>
      <c r="K91" s="13">
        <f>IF($A91="","",D91)</f>
        <v/>
      </c>
      <c r="L91" s="13">
        <f>IF($A91="","",E91)</f>
        <v/>
      </c>
      <c r="M91" s="12">
        <f>IF($A91="","",F91)</f>
        <v/>
      </c>
      <c r="N91" s="14">
        <f>IF($A91="","",IFERROR(G91/Social!B91,0))</f>
        <v/>
      </c>
    </row>
    <row r="92" ht="22" customHeight="1">
      <c r="A92" s="9" t="n"/>
      <c r="B92" s="10" t="n"/>
      <c r="C92" s="10" t="n"/>
      <c r="D92" s="13">
        <f>IF($A92="","",D92)</f>
        <v/>
      </c>
      <c r="E92" s="10" t="n"/>
      <c r="F92" s="10" t="n"/>
      <c r="G92" s="10" t="n"/>
      <c r="H92" s="11">
        <f>IF($A92="","",IFERROR(B92/C92,0))</f>
        <v/>
      </c>
      <c r="I92" s="11">
        <f>IF($A92="","",IFERROR(B92/C92,0))</f>
        <v/>
      </c>
      <c r="J92" s="11">
        <f>IF($A92="","",IFERROR((C92-B92)/C92,0))</f>
        <v/>
      </c>
      <c r="K92" s="13">
        <f>IF($A92="","",D92)</f>
        <v/>
      </c>
      <c r="L92" s="13">
        <f>IF($A92="","",E92)</f>
        <v/>
      </c>
      <c r="M92" s="12">
        <f>IF($A92="","",F92)</f>
        <v/>
      </c>
      <c r="N92" s="14">
        <f>IF($A92="","",IFERROR(G92/Social!B92,0))</f>
        <v/>
      </c>
    </row>
    <row r="93" ht="22" customHeight="1">
      <c r="A93" s="9" t="n"/>
      <c r="B93" s="10" t="n"/>
      <c r="C93" s="10" t="n"/>
      <c r="D93" s="13">
        <f>IF($A93="","",D93)</f>
        <v/>
      </c>
      <c r="E93" s="10" t="n"/>
      <c r="F93" s="10" t="n"/>
      <c r="G93" s="10" t="n"/>
      <c r="H93" s="11">
        <f>IF($A93="","",IFERROR(B93/C93,0))</f>
        <v/>
      </c>
      <c r="I93" s="11">
        <f>IF($A93="","",IFERROR(B93/C93,0))</f>
        <v/>
      </c>
      <c r="J93" s="11">
        <f>IF($A93="","",IFERROR((C93-B93)/C93,0))</f>
        <v/>
      </c>
      <c r="K93" s="13">
        <f>IF($A93="","",D93)</f>
        <v/>
      </c>
      <c r="L93" s="13">
        <f>IF($A93="","",E93)</f>
        <v/>
      </c>
      <c r="M93" s="12">
        <f>IF($A93="","",F93)</f>
        <v/>
      </c>
      <c r="N93" s="14">
        <f>IF($A93="","",IFERROR(G93/Social!B93,0))</f>
        <v/>
      </c>
    </row>
    <row r="94" ht="22" customHeight="1">
      <c r="A94" s="9" t="n"/>
      <c r="B94" s="10" t="n"/>
      <c r="C94" s="10" t="n"/>
      <c r="D94" s="13">
        <f>IF($A94="","",D94)</f>
        <v/>
      </c>
      <c r="E94" s="10" t="n"/>
      <c r="F94" s="10" t="n"/>
      <c r="G94" s="10" t="n"/>
      <c r="H94" s="11">
        <f>IF($A94="","",IFERROR(B94/C94,0))</f>
        <v/>
      </c>
      <c r="I94" s="11">
        <f>IF($A94="","",IFERROR(B94/C94,0))</f>
        <v/>
      </c>
      <c r="J94" s="11">
        <f>IF($A94="","",IFERROR((C94-B94)/C94,0))</f>
        <v/>
      </c>
      <c r="K94" s="13">
        <f>IF($A94="","",D94)</f>
        <v/>
      </c>
      <c r="L94" s="13">
        <f>IF($A94="","",E94)</f>
        <v/>
      </c>
      <c r="M94" s="12">
        <f>IF($A94="","",F94)</f>
        <v/>
      </c>
      <c r="N94" s="14">
        <f>IF($A94="","",IFERROR(G94/Social!B94,0))</f>
        <v/>
      </c>
    </row>
    <row r="95" ht="22" customHeight="1">
      <c r="A95" s="9" t="n"/>
      <c r="B95" s="10" t="n"/>
      <c r="C95" s="10" t="n"/>
      <c r="D95" s="13">
        <f>IF($A95="","",D95)</f>
        <v/>
      </c>
      <c r="E95" s="10" t="n"/>
      <c r="F95" s="10" t="n"/>
      <c r="G95" s="10" t="n"/>
      <c r="H95" s="11">
        <f>IF($A95="","",IFERROR(B95/C95,0))</f>
        <v/>
      </c>
      <c r="I95" s="11">
        <f>IF($A95="","",IFERROR(B95/C95,0))</f>
        <v/>
      </c>
      <c r="J95" s="11">
        <f>IF($A95="","",IFERROR((C95-B95)/C95,0))</f>
        <v/>
      </c>
      <c r="K95" s="13">
        <f>IF($A95="","",D95)</f>
        <v/>
      </c>
      <c r="L95" s="13">
        <f>IF($A95="","",E95)</f>
        <v/>
      </c>
      <c r="M95" s="12">
        <f>IF($A95="","",F95)</f>
        <v/>
      </c>
      <c r="N95" s="14">
        <f>IF($A95="","",IFERROR(G95/Social!B95,0))</f>
        <v/>
      </c>
    </row>
    <row r="96" ht="22" customHeight="1">
      <c r="A96" s="9" t="n"/>
      <c r="B96" s="10" t="n"/>
      <c r="C96" s="10" t="n"/>
      <c r="D96" s="13">
        <f>IF($A96="","",D96)</f>
        <v/>
      </c>
      <c r="E96" s="10" t="n"/>
      <c r="F96" s="10" t="n"/>
      <c r="G96" s="10" t="n"/>
      <c r="H96" s="11">
        <f>IF($A96="","",IFERROR(B96/C96,0))</f>
        <v/>
      </c>
      <c r="I96" s="11">
        <f>IF($A96="","",IFERROR(B96/C96,0))</f>
        <v/>
      </c>
      <c r="J96" s="11">
        <f>IF($A96="","",IFERROR((C96-B96)/C96,0))</f>
        <v/>
      </c>
      <c r="K96" s="13">
        <f>IF($A96="","",D96)</f>
        <v/>
      </c>
      <c r="L96" s="13">
        <f>IF($A96="","",E96)</f>
        <v/>
      </c>
      <c r="M96" s="12">
        <f>IF($A96="","",F96)</f>
        <v/>
      </c>
      <c r="N96" s="14">
        <f>IF($A96="","",IFERROR(G96/Social!B96,0))</f>
        <v/>
      </c>
    </row>
    <row r="97" ht="22" customHeight="1">
      <c r="A97" s="9" t="n"/>
      <c r="B97" s="10" t="n"/>
      <c r="C97" s="10" t="n"/>
      <c r="D97" s="13">
        <f>IF($A97="","",D97)</f>
        <v/>
      </c>
      <c r="E97" s="10" t="n"/>
      <c r="F97" s="10" t="n"/>
      <c r="G97" s="10" t="n"/>
      <c r="H97" s="11">
        <f>IF($A97="","",IFERROR(B97/C97,0))</f>
        <v/>
      </c>
      <c r="I97" s="11">
        <f>IF($A97="","",IFERROR(B97/C97,0))</f>
        <v/>
      </c>
      <c r="J97" s="11">
        <f>IF($A97="","",IFERROR((C97-B97)/C97,0))</f>
        <v/>
      </c>
      <c r="K97" s="13">
        <f>IF($A97="","",D97)</f>
        <v/>
      </c>
      <c r="L97" s="13">
        <f>IF($A97="","",E97)</f>
        <v/>
      </c>
      <c r="M97" s="12">
        <f>IF($A97="","",F97)</f>
        <v/>
      </c>
      <c r="N97" s="14">
        <f>IF($A97="","",IFERROR(G97/Social!B97,0))</f>
        <v/>
      </c>
    </row>
    <row r="98" ht="22" customHeight="1">
      <c r="A98" s="9" t="n"/>
      <c r="B98" s="10" t="n"/>
      <c r="C98" s="10" t="n"/>
      <c r="D98" s="13">
        <f>IF($A98="","",D98)</f>
        <v/>
      </c>
      <c r="E98" s="10" t="n"/>
      <c r="F98" s="10" t="n"/>
      <c r="G98" s="10" t="n"/>
      <c r="H98" s="11">
        <f>IF($A98="","",IFERROR(B98/C98,0))</f>
        <v/>
      </c>
      <c r="I98" s="11">
        <f>IF($A98="","",IFERROR(B98/C98,0))</f>
        <v/>
      </c>
      <c r="J98" s="11">
        <f>IF($A98="","",IFERROR((C98-B98)/C98,0))</f>
        <v/>
      </c>
      <c r="K98" s="13">
        <f>IF($A98="","",D98)</f>
        <v/>
      </c>
      <c r="L98" s="13">
        <f>IF($A98="","",E98)</f>
        <v/>
      </c>
      <c r="M98" s="12">
        <f>IF($A98="","",F98)</f>
        <v/>
      </c>
      <c r="N98" s="14">
        <f>IF($A98="","",IFERROR(G98/Social!B98,0))</f>
        <v/>
      </c>
    </row>
    <row r="99" ht="22" customHeight="1">
      <c r="A99" s="9" t="n"/>
      <c r="B99" s="10" t="n"/>
      <c r="C99" s="10" t="n"/>
      <c r="D99" s="13">
        <f>IF($A99="","",D99)</f>
        <v/>
      </c>
      <c r="E99" s="10" t="n"/>
      <c r="F99" s="10" t="n"/>
      <c r="G99" s="10" t="n"/>
      <c r="H99" s="11">
        <f>IF($A99="","",IFERROR(B99/C99,0))</f>
        <v/>
      </c>
      <c r="I99" s="11">
        <f>IF($A99="","",IFERROR(B99/C99,0))</f>
        <v/>
      </c>
      <c r="J99" s="11">
        <f>IF($A99="","",IFERROR((C99-B99)/C99,0))</f>
        <v/>
      </c>
      <c r="K99" s="13">
        <f>IF($A99="","",D99)</f>
        <v/>
      </c>
      <c r="L99" s="13">
        <f>IF($A99="","",E99)</f>
        <v/>
      </c>
      <c r="M99" s="12">
        <f>IF($A99="","",F99)</f>
        <v/>
      </c>
      <c r="N99" s="14">
        <f>IF($A99="","",IFERROR(G99/Social!B99,0))</f>
        <v/>
      </c>
    </row>
    <row r="100" ht="22" customHeight="1">
      <c r="A100" s="9" t="n"/>
      <c r="B100" s="10" t="n"/>
      <c r="C100" s="10" t="n"/>
      <c r="D100" s="13">
        <f>IF($A100="","",D100)</f>
        <v/>
      </c>
      <c r="E100" s="10" t="n"/>
      <c r="F100" s="10" t="n"/>
      <c r="G100" s="10" t="n"/>
      <c r="H100" s="11">
        <f>IF($A100="","",IFERROR(B100/C100,0))</f>
        <v/>
      </c>
      <c r="I100" s="11">
        <f>IF($A100="","",IFERROR(B100/C100,0))</f>
        <v/>
      </c>
      <c r="J100" s="11">
        <f>IF($A100="","",IFERROR((C100-B100)/C100,0))</f>
        <v/>
      </c>
      <c r="K100" s="13">
        <f>IF($A100="","",D100)</f>
        <v/>
      </c>
      <c r="L100" s="13">
        <f>IF($A100="","",E100)</f>
        <v/>
      </c>
      <c r="M100" s="12">
        <f>IF($A100="","",F100)</f>
        <v/>
      </c>
      <c r="N100" s="14">
        <f>IF($A100="","",IFERROR(G100/Social!B100,0))</f>
        <v/>
      </c>
    </row>
    <row r="101" ht="22" customHeight="1">
      <c r="A101" s="9" t="n"/>
      <c r="B101" s="10" t="n"/>
      <c r="C101" s="10" t="n"/>
      <c r="D101" s="13">
        <f>IF($A101="","",D101)</f>
        <v/>
      </c>
      <c r="E101" s="10" t="n"/>
      <c r="F101" s="10" t="n"/>
      <c r="G101" s="10" t="n"/>
      <c r="H101" s="11">
        <f>IF($A101="","",IFERROR(B101/C101,0))</f>
        <v/>
      </c>
      <c r="I101" s="11">
        <f>IF($A101="","",IFERROR(B101/C101,0))</f>
        <v/>
      </c>
      <c r="J101" s="11">
        <f>IF($A101="","",IFERROR((C101-B101)/C101,0))</f>
        <v/>
      </c>
      <c r="K101" s="13">
        <f>IF($A101="","",D101)</f>
        <v/>
      </c>
      <c r="L101" s="13">
        <f>IF($A101="","",E101)</f>
        <v/>
      </c>
      <c r="M101" s="12">
        <f>IF($A101="","",F101)</f>
        <v/>
      </c>
      <c r="N101" s="14">
        <f>IF($A101="","",IFERROR(G101/Social!B101,0))</f>
        <v/>
      </c>
    </row>
    <row r="102" ht="22" customHeight="1">
      <c r="A102" s="9" t="n"/>
      <c r="B102" s="10" t="n"/>
      <c r="C102" s="10" t="n"/>
      <c r="D102" s="13">
        <f>IF($A102="","",D102)</f>
        <v/>
      </c>
      <c r="E102" s="10" t="n"/>
      <c r="F102" s="10" t="n"/>
      <c r="G102" s="10" t="n"/>
      <c r="H102" s="11">
        <f>IF($A102="","",IFERROR(B102/C102,0))</f>
        <v/>
      </c>
      <c r="I102" s="11">
        <f>IF($A102="","",IFERROR(B102/C102,0))</f>
        <v/>
      </c>
      <c r="J102" s="11">
        <f>IF($A102="","",IFERROR((C102-B102)/C102,0))</f>
        <v/>
      </c>
      <c r="K102" s="13">
        <f>IF($A102="","",D102)</f>
        <v/>
      </c>
      <c r="L102" s="13">
        <f>IF($A102="","",E102)</f>
        <v/>
      </c>
      <c r="M102" s="12">
        <f>IF($A102="","",F102)</f>
        <v/>
      </c>
      <c r="N102" s="14">
        <f>IF($A102="","",IFERROR(G102/Social!B102,0))</f>
        <v/>
      </c>
    </row>
    <row r="103" ht="22" customHeight="1">
      <c r="A103" s="9" t="n"/>
      <c r="B103" s="10" t="n"/>
      <c r="C103" s="10" t="n"/>
      <c r="D103" s="13">
        <f>IF($A103="","",D103)</f>
        <v/>
      </c>
      <c r="E103" s="10" t="n"/>
      <c r="F103" s="10" t="n"/>
      <c r="G103" s="10" t="n"/>
      <c r="H103" s="11">
        <f>IF($A103="","",IFERROR(B103/C103,0))</f>
        <v/>
      </c>
      <c r="I103" s="11">
        <f>IF($A103="","",IFERROR(B103/C103,0))</f>
        <v/>
      </c>
      <c r="J103" s="11">
        <f>IF($A103="","",IFERROR((C103-B103)/C103,0))</f>
        <v/>
      </c>
      <c r="K103" s="13">
        <f>IF($A103="","",D103)</f>
        <v/>
      </c>
      <c r="L103" s="13">
        <f>IF($A103="","",E103)</f>
        <v/>
      </c>
      <c r="M103" s="12">
        <f>IF($A103="","",F103)</f>
        <v/>
      </c>
      <c r="N103" s="14">
        <f>IF($A103="","",IFERROR(G103/Social!B103,0))</f>
        <v/>
      </c>
    </row>
    <row r="104" ht="22" customHeight="1">
      <c r="A104" s="9" t="n"/>
      <c r="B104" s="10" t="n"/>
      <c r="C104" s="10" t="n"/>
      <c r="D104" s="13">
        <f>IF($A104="","",D104)</f>
        <v/>
      </c>
      <c r="E104" s="10" t="n"/>
      <c r="F104" s="10" t="n"/>
      <c r="G104" s="10" t="n"/>
      <c r="H104" s="11">
        <f>IF($A104="","",IFERROR(B104/C104,0))</f>
        <v/>
      </c>
      <c r="I104" s="11">
        <f>IF($A104="","",IFERROR(B104/C104,0))</f>
        <v/>
      </c>
      <c r="J104" s="11">
        <f>IF($A104="","",IFERROR((C104-B104)/C104,0))</f>
        <v/>
      </c>
      <c r="K104" s="13">
        <f>IF($A104="","",D104)</f>
        <v/>
      </c>
      <c r="L104" s="13">
        <f>IF($A104="","",E104)</f>
        <v/>
      </c>
      <c r="M104" s="12">
        <f>IF($A104="","",F104)</f>
        <v/>
      </c>
      <c r="N104" s="14">
        <f>IF($A104="","",IFERROR(G104/Social!B104,0))</f>
        <v/>
      </c>
    </row>
    <row r="105" ht="22" customHeight="1">
      <c r="A105" s="9" t="n"/>
      <c r="B105" s="10" t="n"/>
      <c r="C105" s="10" t="n"/>
      <c r="D105" s="13">
        <f>IF($A105="","",D105)</f>
        <v/>
      </c>
      <c r="E105" s="10" t="n"/>
      <c r="F105" s="10" t="n"/>
      <c r="G105" s="10" t="n"/>
      <c r="H105" s="11">
        <f>IF($A105="","",IFERROR(B105/C105,0))</f>
        <v/>
      </c>
      <c r="I105" s="11">
        <f>IF($A105="","",IFERROR(B105/C105,0))</f>
        <v/>
      </c>
      <c r="J105" s="11">
        <f>IF($A105="","",IFERROR((C105-B105)/C105,0))</f>
        <v/>
      </c>
      <c r="K105" s="13">
        <f>IF($A105="","",D105)</f>
        <v/>
      </c>
      <c r="L105" s="13">
        <f>IF($A105="","",E105)</f>
        <v/>
      </c>
      <c r="M105" s="12">
        <f>IF($A105="","",F105)</f>
        <v/>
      </c>
      <c r="N105" s="14">
        <f>IF($A105="","",IFERROR(G105/Social!B105,0))</f>
        <v/>
      </c>
    </row>
    <row r="106" ht="22" customHeight="1">
      <c r="A106" s="9" t="n"/>
      <c r="B106" s="10" t="n"/>
      <c r="C106" s="10" t="n"/>
      <c r="D106" s="13">
        <f>IF($A106="","",D106)</f>
        <v/>
      </c>
      <c r="E106" s="10" t="n"/>
      <c r="F106" s="10" t="n"/>
      <c r="G106" s="10" t="n"/>
      <c r="H106" s="11">
        <f>IF($A106="","",IFERROR(B106/C106,0))</f>
        <v/>
      </c>
      <c r="I106" s="11">
        <f>IF($A106="","",IFERROR(B106/C106,0))</f>
        <v/>
      </c>
      <c r="J106" s="11">
        <f>IF($A106="","",IFERROR((C106-B106)/C106,0))</f>
        <v/>
      </c>
      <c r="K106" s="13">
        <f>IF($A106="","",D106)</f>
        <v/>
      </c>
      <c r="L106" s="13">
        <f>IF($A106="","",E106)</f>
        <v/>
      </c>
      <c r="M106" s="12">
        <f>IF($A106="","",F106)</f>
        <v/>
      </c>
      <c r="N106" s="14">
        <f>IF($A106="","",IFERROR(G106/Social!B106,0))</f>
        <v/>
      </c>
    </row>
    <row r="107" ht="22" customHeight="1">
      <c r="A107" s="9" t="n"/>
      <c r="B107" s="10" t="n"/>
      <c r="C107" s="10" t="n"/>
      <c r="D107" s="13">
        <f>IF($A107="","",D107)</f>
        <v/>
      </c>
      <c r="E107" s="10" t="n"/>
      <c r="F107" s="10" t="n"/>
      <c r="G107" s="10" t="n"/>
      <c r="H107" s="11">
        <f>IF($A107="","",IFERROR(B107/C107,0))</f>
        <v/>
      </c>
      <c r="I107" s="11">
        <f>IF($A107="","",IFERROR(B107/C107,0))</f>
        <v/>
      </c>
      <c r="J107" s="11">
        <f>IF($A107="","",IFERROR((C107-B107)/C107,0))</f>
        <v/>
      </c>
      <c r="K107" s="13">
        <f>IF($A107="","",D107)</f>
        <v/>
      </c>
      <c r="L107" s="13">
        <f>IF($A107="","",E107)</f>
        <v/>
      </c>
      <c r="M107" s="12">
        <f>IF($A107="","",F107)</f>
        <v/>
      </c>
      <c r="N107" s="14">
        <f>IF($A107="","",IFERROR(G107/Social!B107,0))</f>
        <v/>
      </c>
    </row>
    <row r="108" ht="22" customHeight="1">
      <c r="A108" s="9" t="n"/>
      <c r="B108" s="10" t="n"/>
      <c r="C108" s="10" t="n"/>
      <c r="D108" s="13">
        <f>IF($A108="","",D108)</f>
        <v/>
      </c>
      <c r="E108" s="10" t="n"/>
      <c r="F108" s="10" t="n"/>
      <c r="G108" s="10" t="n"/>
      <c r="H108" s="11">
        <f>IF($A108="","",IFERROR(B108/C108,0))</f>
        <v/>
      </c>
      <c r="I108" s="11">
        <f>IF($A108="","",IFERROR(B108/C108,0))</f>
        <v/>
      </c>
      <c r="J108" s="11">
        <f>IF($A108="","",IFERROR((C108-B108)/C108,0))</f>
        <v/>
      </c>
      <c r="K108" s="13">
        <f>IF($A108="","",D108)</f>
        <v/>
      </c>
      <c r="L108" s="13">
        <f>IF($A108="","",E108)</f>
        <v/>
      </c>
      <c r="M108" s="12">
        <f>IF($A108="","",F108)</f>
        <v/>
      </c>
      <c r="N108" s="14">
        <f>IF($A108="","",IFERROR(G108/Social!B108,0))</f>
        <v/>
      </c>
    </row>
    <row r="109" ht="22" customHeight="1">
      <c r="A109" s="9" t="n"/>
      <c r="B109" s="10" t="n"/>
      <c r="C109" s="10" t="n"/>
      <c r="D109" s="13">
        <f>IF($A109="","",D109)</f>
        <v/>
      </c>
      <c r="E109" s="10" t="n"/>
      <c r="F109" s="10" t="n"/>
      <c r="G109" s="10" t="n"/>
      <c r="H109" s="11">
        <f>IF($A109="","",IFERROR(B109/C109,0))</f>
        <v/>
      </c>
      <c r="I109" s="11">
        <f>IF($A109="","",IFERROR(B109/C109,0))</f>
        <v/>
      </c>
      <c r="J109" s="11">
        <f>IF($A109="","",IFERROR((C109-B109)/C109,0))</f>
        <v/>
      </c>
      <c r="K109" s="13">
        <f>IF($A109="","",D109)</f>
        <v/>
      </c>
      <c r="L109" s="13">
        <f>IF($A109="","",E109)</f>
        <v/>
      </c>
      <c r="M109" s="12">
        <f>IF($A109="","",F109)</f>
        <v/>
      </c>
      <c r="N109" s="14">
        <f>IF($A109="","",IFERROR(G109/Social!B109,0))</f>
        <v/>
      </c>
    </row>
    <row r="110" ht="22" customHeight="1">
      <c r="A110" s="9" t="n"/>
      <c r="B110" s="10" t="n"/>
      <c r="C110" s="10" t="n"/>
      <c r="D110" s="13">
        <f>IF($A110="","",D110)</f>
        <v/>
      </c>
      <c r="E110" s="10" t="n"/>
      <c r="F110" s="10" t="n"/>
      <c r="G110" s="10" t="n"/>
      <c r="H110" s="11">
        <f>IF($A110="","",IFERROR(B110/C110,0))</f>
        <v/>
      </c>
      <c r="I110" s="11">
        <f>IF($A110="","",IFERROR(B110/C110,0))</f>
        <v/>
      </c>
      <c r="J110" s="11">
        <f>IF($A110="","",IFERROR((C110-B110)/C110,0))</f>
        <v/>
      </c>
      <c r="K110" s="13">
        <f>IF($A110="","",D110)</f>
        <v/>
      </c>
      <c r="L110" s="13">
        <f>IF($A110="","",E110)</f>
        <v/>
      </c>
      <c r="M110" s="12">
        <f>IF($A110="","",F110)</f>
        <v/>
      </c>
      <c r="N110" s="14">
        <f>IF($A110="","",IFERROR(G110/Social!B110,0))</f>
        <v/>
      </c>
    </row>
    <row r="111" ht="22" customHeight="1">
      <c r="A111" s="9" t="n"/>
      <c r="B111" s="10" t="n"/>
      <c r="C111" s="10" t="n"/>
      <c r="D111" s="13">
        <f>IF($A111="","",D111)</f>
        <v/>
      </c>
      <c r="E111" s="10" t="n"/>
      <c r="F111" s="10" t="n"/>
      <c r="G111" s="10" t="n"/>
      <c r="H111" s="11">
        <f>IF($A111="","",IFERROR(B111/C111,0))</f>
        <v/>
      </c>
      <c r="I111" s="11">
        <f>IF($A111="","",IFERROR(B111/C111,0))</f>
        <v/>
      </c>
      <c r="J111" s="11">
        <f>IF($A111="","",IFERROR((C111-B111)/C111,0))</f>
        <v/>
      </c>
      <c r="K111" s="13">
        <f>IF($A111="","",D111)</f>
        <v/>
      </c>
      <c r="L111" s="13">
        <f>IF($A111="","",E111)</f>
        <v/>
      </c>
      <c r="M111" s="12">
        <f>IF($A111="","",F111)</f>
        <v/>
      </c>
      <c r="N111" s="14">
        <f>IF($A111="","",IFERROR(G111/Social!B111,0))</f>
        <v/>
      </c>
    </row>
    <row r="112" ht="22" customHeight="1">
      <c r="A112" s="9" t="n"/>
      <c r="B112" s="10" t="n"/>
      <c r="C112" s="10" t="n"/>
      <c r="D112" s="13">
        <f>IF($A112="","",D112)</f>
        <v/>
      </c>
      <c r="E112" s="10" t="n"/>
      <c r="F112" s="10" t="n"/>
      <c r="G112" s="10" t="n"/>
      <c r="H112" s="11">
        <f>IF($A112="","",IFERROR(B112/C112,0))</f>
        <v/>
      </c>
      <c r="I112" s="11">
        <f>IF($A112="","",IFERROR(B112/C112,0))</f>
        <v/>
      </c>
      <c r="J112" s="11">
        <f>IF($A112="","",IFERROR((C112-B112)/C112,0))</f>
        <v/>
      </c>
      <c r="K112" s="13">
        <f>IF($A112="","",D112)</f>
        <v/>
      </c>
      <c r="L112" s="13">
        <f>IF($A112="","",E112)</f>
        <v/>
      </c>
      <c r="M112" s="12">
        <f>IF($A112="","",F112)</f>
        <v/>
      </c>
      <c r="N112" s="14">
        <f>IF($A112="","",IFERROR(G112/Social!B112,0))</f>
        <v/>
      </c>
    </row>
    <row r="113" ht="22" customHeight="1">
      <c r="A113" s="9" t="n"/>
      <c r="B113" s="10" t="n"/>
      <c r="C113" s="10" t="n"/>
      <c r="D113" s="13">
        <f>IF($A113="","",D113)</f>
        <v/>
      </c>
      <c r="E113" s="10" t="n"/>
      <c r="F113" s="10" t="n"/>
      <c r="G113" s="10" t="n"/>
      <c r="H113" s="11">
        <f>IF($A113="","",IFERROR(B113/C113,0))</f>
        <v/>
      </c>
      <c r="I113" s="11">
        <f>IF($A113="","",IFERROR(B113/C113,0))</f>
        <v/>
      </c>
      <c r="J113" s="11">
        <f>IF($A113="","",IFERROR((C113-B113)/C113,0))</f>
        <v/>
      </c>
      <c r="K113" s="13">
        <f>IF($A113="","",D113)</f>
        <v/>
      </c>
      <c r="L113" s="13">
        <f>IF($A113="","",E113)</f>
        <v/>
      </c>
      <c r="M113" s="12">
        <f>IF($A113="","",F113)</f>
        <v/>
      </c>
      <c r="N113" s="14">
        <f>IF($A113="","",IFERROR(G113/Social!B113,0))</f>
        <v/>
      </c>
    </row>
    <row r="114" ht="22" customHeight="1">
      <c r="A114" s="9" t="n"/>
      <c r="B114" s="10" t="n"/>
      <c r="C114" s="10" t="n"/>
      <c r="D114" s="13">
        <f>IF($A114="","",D114)</f>
        <v/>
      </c>
      <c r="E114" s="10" t="n"/>
      <c r="F114" s="10" t="n"/>
      <c r="G114" s="10" t="n"/>
      <c r="H114" s="11">
        <f>IF($A114="","",IFERROR(B114/C114,0))</f>
        <v/>
      </c>
      <c r="I114" s="11">
        <f>IF($A114="","",IFERROR(B114/C114,0))</f>
        <v/>
      </c>
      <c r="J114" s="11">
        <f>IF($A114="","",IFERROR((C114-B114)/C114,0))</f>
        <v/>
      </c>
      <c r="K114" s="13">
        <f>IF($A114="","",D114)</f>
        <v/>
      </c>
      <c r="L114" s="13">
        <f>IF($A114="","",E114)</f>
        <v/>
      </c>
      <c r="M114" s="12">
        <f>IF($A114="","",F114)</f>
        <v/>
      </c>
      <c r="N114" s="14">
        <f>IF($A114="","",IFERROR(G114/Social!B114,0))</f>
        <v/>
      </c>
    </row>
    <row r="115" ht="22" customHeight="1">
      <c r="A115" s="9" t="n"/>
      <c r="B115" s="10" t="n"/>
      <c r="C115" s="10" t="n"/>
      <c r="D115" s="13">
        <f>IF($A115="","",D115)</f>
        <v/>
      </c>
      <c r="E115" s="10" t="n"/>
      <c r="F115" s="10" t="n"/>
      <c r="G115" s="10" t="n"/>
      <c r="H115" s="11">
        <f>IF($A115="","",IFERROR(B115/C115,0))</f>
        <v/>
      </c>
      <c r="I115" s="11">
        <f>IF($A115="","",IFERROR(B115/C115,0))</f>
        <v/>
      </c>
      <c r="J115" s="11">
        <f>IF($A115="","",IFERROR((C115-B115)/C115,0))</f>
        <v/>
      </c>
      <c r="K115" s="13">
        <f>IF($A115="","",D115)</f>
        <v/>
      </c>
      <c r="L115" s="13">
        <f>IF($A115="","",E115)</f>
        <v/>
      </c>
      <c r="M115" s="12">
        <f>IF($A115="","",F115)</f>
        <v/>
      </c>
      <c r="N115" s="14">
        <f>IF($A115="","",IFERROR(G115/Social!B115,0))</f>
        <v/>
      </c>
    </row>
    <row r="116" ht="22" customHeight="1">
      <c r="A116" s="9" t="n"/>
      <c r="B116" s="10" t="n"/>
      <c r="C116" s="10" t="n"/>
      <c r="D116" s="13">
        <f>IF($A116="","",D116)</f>
        <v/>
      </c>
      <c r="E116" s="10" t="n"/>
      <c r="F116" s="10" t="n"/>
      <c r="G116" s="10" t="n"/>
      <c r="H116" s="11">
        <f>IF($A116="","",IFERROR(B116/C116,0))</f>
        <v/>
      </c>
      <c r="I116" s="11">
        <f>IF($A116="","",IFERROR(B116/C116,0))</f>
        <v/>
      </c>
      <c r="J116" s="11">
        <f>IF($A116="","",IFERROR((C116-B116)/C116,0))</f>
        <v/>
      </c>
      <c r="K116" s="13">
        <f>IF($A116="","",D116)</f>
        <v/>
      </c>
      <c r="L116" s="13">
        <f>IF($A116="","",E116)</f>
        <v/>
      </c>
      <c r="M116" s="12">
        <f>IF($A116="","",F116)</f>
        <v/>
      </c>
      <c r="N116" s="14">
        <f>IF($A116="","",IFERROR(G116/Social!B116,0))</f>
        <v/>
      </c>
    </row>
    <row r="117" ht="22" customHeight="1">
      <c r="A117" s="9" t="n"/>
      <c r="B117" s="10" t="n"/>
      <c r="C117" s="10" t="n"/>
      <c r="D117" s="13">
        <f>IF($A117="","",D117)</f>
        <v/>
      </c>
      <c r="E117" s="10" t="n"/>
      <c r="F117" s="10" t="n"/>
      <c r="G117" s="10" t="n"/>
      <c r="H117" s="11">
        <f>IF($A117="","",IFERROR(B117/C117,0))</f>
        <v/>
      </c>
      <c r="I117" s="11">
        <f>IF($A117="","",IFERROR(B117/C117,0))</f>
        <v/>
      </c>
      <c r="J117" s="11">
        <f>IF($A117="","",IFERROR((C117-B117)/C117,0))</f>
        <v/>
      </c>
      <c r="K117" s="13">
        <f>IF($A117="","",D117)</f>
        <v/>
      </c>
      <c r="L117" s="13">
        <f>IF($A117="","",E117)</f>
        <v/>
      </c>
      <c r="M117" s="12">
        <f>IF($A117="","",F117)</f>
        <v/>
      </c>
      <c r="N117" s="14">
        <f>IF($A117="","",IFERROR(G117/Social!B117,0))</f>
        <v/>
      </c>
    </row>
    <row r="118" ht="22" customHeight="1">
      <c r="A118" s="9" t="n"/>
      <c r="B118" s="10" t="n"/>
      <c r="C118" s="10" t="n"/>
      <c r="D118" s="13">
        <f>IF($A118="","",D118)</f>
        <v/>
      </c>
      <c r="E118" s="10" t="n"/>
      <c r="F118" s="10" t="n"/>
      <c r="G118" s="10" t="n"/>
      <c r="H118" s="11">
        <f>IF($A118="","",IFERROR(B118/C118,0))</f>
        <v/>
      </c>
      <c r="I118" s="11">
        <f>IF($A118="","",IFERROR(B118/C118,0))</f>
        <v/>
      </c>
      <c r="J118" s="11">
        <f>IF($A118="","",IFERROR((C118-B118)/C118,0))</f>
        <v/>
      </c>
      <c r="K118" s="13">
        <f>IF($A118="","",D118)</f>
        <v/>
      </c>
      <c r="L118" s="13">
        <f>IF($A118="","",E118)</f>
        <v/>
      </c>
      <c r="M118" s="12">
        <f>IF($A118="","",F118)</f>
        <v/>
      </c>
      <c r="N118" s="14">
        <f>IF($A118="","",IFERROR(G118/Social!B118,0))</f>
        <v/>
      </c>
    </row>
    <row r="119" ht="22" customHeight="1">
      <c r="A119" s="9" t="n"/>
      <c r="B119" s="10" t="n"/>
      <c r="C119" s="10" t="n"/>
      <c r="D119" s="13">
        <f>IF($A119="","",D119)</f>
        <v/>
      </c>
      <c r="E119" s="10" t="n"/>
      <c r="F119" s="10" t="n"/>
      <c r="G119" s="10" t="n"/>
      <c r="H119" s="11">
        <f>IF($A119="","",IFERROR(B119/C119,0))</f>
        <v/>
      </c>
      <c r="I119" s="11">
        <f>IF($A119="","",IFERROR(B119/C119,0))</f>
        <v/>
      </c>
      <c r="J119" s="11">
        <f>IF($A119="","",IFERROR((C119-B119)/C119,0))</f>
        <v/>
      </c>
      <c r="K119" s="13">
        <f>IF($A119="","",D119)</f>
        <v/>
      </c>
      <c r="L119" s="13">
        <f>IF($A119="","",E119)</f>
        <v/>
      </c>
      <c r="M119" s="12">
        <f>IF($A119="","",F119)</f>
        <v/>
      </c>
      <c r="N119" s="14">
        <f>IF($A119="","",IFERROR(G119/Social!B119,0))</f>
        <v/>
      </c>
    </row>
    <row r="120" ht="22" customHeight="1">
      <c r="A120" s="9" t="n"/>
      <c r="B120" s="10" t="n"/>
      <c r="C120" s="10" t="n"/>
      <c r="D120" s="13">
        <f>IF($A120="","",D120)</f>
        <v/>
      </c>
      <c r="E120" s="10" t="n"/>
      <c r="F120" s="10" t="n"/>
      <c r="G120" s="10" t="n"/>
      <c r="H120" s="11">
        <f>IF($A120="","",IFERROR(B120/C120,0))</f>
        <v/>
      </c>
      <c r="I120" s="11">
        <f>IF($A120="","",IFERROR(B120/C120,0))</f>
        <v/>
      </c>
      <c r="J120" s="11">
        <f>IF($A120="","",IFERROR((C120-B120)/C120,0))</f>
        <v/>
      </c>
      <c r="K120" s="13">
        <f>IF($A120="","",D120)</f>
        <v/>
      </c>
      <c r="L120" s="13">
        <f>IF($A120="","",E120)</f>
        <v/>
      </c>
      <c r="M120" s="12">
        <f>IF($A120="","",F120)</f>
        <v/>
      </c>
      <c r="N120" s="14">
        <f>IF($A120="","",IFERROR(G120/Social!B120,0))</f>
        <v/>
      </c>
    </row>
    <row r="121" ht="22" customHeight="1">
      <c r="A121" s="9" t="n"/>
      <c r="B121" s="10" t="n"/>
      <c r="C121" s="10" t="n"/>
      <c r="D121" s="13">
        <f>IF($A121="","",D121)</f>
        <v/>
      </c>
      <c r="E121" s="10" t="n"/>
      <c r="F121" s="10" t="n"/>
      <c r="G121" s="10" t="n"/>
      <c r="H121" s="11">
        <f>IF($A121="","",IFERROR(B121/C121,0))</f>
        <v/>
      </c>
      <c r="I121" s="11">
        <f>IF($A121="","",IFERROR(B121/C121,0))</f>
        <v/>
      </c>
      <c r="J121" s="11">
        <f>IF($A121="","",IFERROR((C121-B121)/C121,0))</f>
        <v/>
      </c>
      <c r="K121" s="13">
        <f>IF($A121="","",D121)</f>
        <v/>
      </c>
      <c r="L121" s="13">
        <f>IF($A121="","",E121)</f>
        <v/>
      </c>
      <c r="M121" s="12">
        <f>IF($A121="","",F121)</f>
        <v/>
      </c>
      <c r="N121" s="14">
        <f>IF($A121="","",IFERROR(G121/Social!B121,0))</f>
        <v/>
      </c>
    </row>
    <row r="122" ht="22" customHeight="1">
      <c r="A122" s="9" t="n"/>
      <c r="B122" s="10" t="n"/>
      <c r="C122" s="10" t="n"/>
      <c r="D122" s="13">
        <f>IF($A122="","",D122)</f>
        <v/>
      </c>
      <c r="E122" s="10" t="n"/>
      <c r="F122" s="10" t="n"/>
      <c r="G122" s="10" t="n"/>
      <c r="H122" s="11">
        <f>IF($A122="","",IFERROR(B122/C122,0))</f>
        <v/>
      </c>
      <c r="I122" s="11">
        <f>IF($A122="","",IFERROR(B122/C122,0))</f>
        <v/>
      </c>
      <c r="J122" s="11">
        <f>IF($A122="","",IFERROR((C122-B122)/C122,0))</f>
        <v/>
      </c>
      <c r="K122" s="13">
        <f>IF($A122="","",D122)</f>
        <v/>
      </c>
      <c r="L122" s="13">
        <f>IF($A122="","",E122)</f>
        <v/>
      </c>
      <c r="M122" s="12">
        <f>IF($A122="","",F122)</f>
        <v/>
      </c>
      <c r="N122" s="14">
        <f>IF($A122="","",IFERROR(G122/Social!B122,0))</f>
        <v/>
      </c>
    </row>
    <row r="123" ht="22" customHeight="1">
      <c r="A123" s="9" t="n"/>
      <c r="B123" s="10" t="n"/>
      <c r="C123" s="10" t="n"/>
      <c r="D123" s="13">
        <f>IF($A123="","",D123)</f>
        <v/>
      </c>
      <c r="E123" s="10" t="n"/>
      <c r="F123" s="10" t="n"/>
      <c r="G123" s="10" t="n"/>
      <c r="H123" s="11">
        <f>IF($A123="","",IFERROR(B123/C123,0))</f>
        <v/>
      </c>
      <c r="I123" s="11">
        <f>IF($A123="","",IFERROR(B123/C123,0))</f>
        <v/>
      </c>
      <c r="J123" s="11">
        <f>IF($A123="","",IFERROR((C123-B123)/C123,0))</f>
        <v/>
      </c>
      <c r="K123" s="13">
        <f>IF($A123="","",D123)</f>
        <v/>
      </c>
      <c r="L123" s="13">
        <f>IF($A123="","",E123)</f>
        <v/>
      </c>
      <c r="M123" s="12">
        <f>IF($A123="","",F123)</f>
        <v/>
      </c>
      <c r="N123" s="14">
        <f>IF($A123="","",IFERROR(G123/Social!B123,0))</f>
        <v/>
      </c>
    </row>
    <row r="124" ht="22" customHeight="1">
      <c r="A124" s="9" t="n"/>
      <c r="B124" s="10" t="n"/>
      <c r="C124" s="10" t="n"/>
      <c r="D124" s="13">
        <f>IF($A124="","",D124)</f>
        <v/>
      </c>
      <c r="E124" s="10" t="n"/>
      <c r="F124" s="10" t="n"/>
      <c r="G124" s="10" t="n"/>
      <c r="H124" s="11">
        <f>IF($A124="","",IFERROR(B124/C124,0))</f>
        <v/>
      </c>
      <c r="I124" s="11">
        <f>IF($A124="","",IFERROR(B124/C124,0))</f>
        <v/>
      </c>
      <c r="J124" s="11">
        <f>IF($A124="","",IFERROR((C124-B124)/C124,0))</f>
        <v/>
      </c>
      <c r="K124" s="13">
        <f>IF($A124="","",D124)</f>
        <v/>
      </c>
      <c r="L124" s="13">
        <f>IF($A124="","",E124)</f>
        <v/>
      </c>
      <c r="M124" s="12">
        <f>IF($A124="","",F124)</f>
        <v/>
      </c>
      <c r="N124" s="14">
        <f>IF($A124="","",IFERROR(G124/Social!B124,0))</f>
        <v/>
      </c>
    </row>
    <row r="125" ht="22" customHeight="1">
      <c r="A125" s="9" t="n"/>
      <c r="B125" s="10" t="n"/>
      <c r="C125" s="10" t="n"/>
      <c r="D125" s="13">
        <f>IF($A125="","",D125)</f>
        <v/>
      </c>
      <c r="E125" s="10" t="n"/>
      <c r="F125" s="10" t="n"/>
      <c r="G125" s="10" t="n"/>
      <c r="H125" s="11">
        <f>IF($A125="","",IFERROR(B125/C125,0))</f>
        <v/>
      </c>
      <c r="I125" s="11">
        <f>IF($A125="","",IFERROR(B125/C125,0))</f>
        <v/>
      </c>
      <c r="J125" s="11">
        <f>IF($A125="","",IFERROR((C125-B125)/C125,0))</f>
        <v/>
      </c>
      <c r="K125" s="13">
        <f>IF($A125="","",D125)</f>
        <v/>
      </c>
      <c r="L125" s="13">
        <f>IF($A125="","",E125)</f>
        <v/>
      </c>
      <c r="M125" s="12">
        <f>IF($A125="","",F125)</f>
        <v/>
      </c>
      <c r="N125" s="14">
        <f>IF($A125="","",IFERROR(G125/Social!B125,0))</f>
        <v/>
      </c>
    </row>
    <row r="126" ht="22" customHeight="1">
      <c r="A126" s="9" t="n"/>
      <c r="B126" s="10" t="n"/>
      <c r="C126" s="10" t="n"/>
      <c r="D126" s="13">
        <f>IF($A126="","",D126)</f>
        <v/>
      </c>
      <c r="E126" s="10" t="n"/>
      <c r="F126" s="10" t="n"/>
      <c r="G126" s="10" t="n"/>
      <c r="H126" s="11">
        <f>IF($A126="","",IFERROR(B126/C126,0))</f>
        <v/>
      </c>
      <c r="I126" s="11">
        <f>IF($A126="","",IFERROR(B126/C126,0))</f>
        <v/>
      </c>
      <c r="J126" s="11">
        <f>IF($A126="","",IFERROR((C126-B126)/C126,0))</f>
        <v/>
      </c>
      <c r="K126" s="13">
        <f>IF($A126="","",D126)</f>
        <v/>
      </c>
      <c r="L126" s="13">
        <f>IF($A126="","",E126)</f>
        <v/>
      </c>
      <c r="M126" s="12">
        <f>IF($A126="","",F126)</f>
        <v/>
      </c>
      <c r="N126" s="14">
        <f>IF($A126="","",IFERROR(G126/Social!B126,0))</f>
        <v/>
      </c>
    </row>
    <row r="127" ht="22" customHeight="1">
      <c r="A127" s="9" t="n"/>
      <c r="B127" s="10" t="n"/>
      <c r="C127" s="10" t="n"/>
      <c r="D127" s="13">
        <f>IF($A127="","",D127)</f>
        <v/>
      </c>
      <c r="E127" s="10" t="n"/>
      <c r="F127" s="10" t="n"/>
      <c r="G127" s="10" t="n"/>
      <c r="H127" s="11">
        <f>IF($A127="","",IFERROR(B127/C127,0))</f>
        <v/>
      </c>
      <c r="I127" s="11">
        <f>IF($A127="","",IFERROR(B127/C127,0))</f>
        <v/>
      </c>
      <c r="J127" s="11">
        <f>IF($A127="","",IFERROR((C127-B127)/C127,0))</f>
        <v/>
      </c>
      <c r="K127" s="13">
        <f>IF($A127="","",D127)</f>
        <v/>
      </c>
      <c r="L127" s="13">
        <f>IF($A127="","",E127)</f>
        <v/>
      </c>
      <c r="M127" s="12">
        <f>IF($A127="","",F127)</f>
        <v/>
      </c>
      <c r="N127" s="14">
        <f>IF($A127="","",IFERROR(G127/Social!B127,0))</f>
        <v/>
      </c>
    </row>
    <row r="128" ht="22" customHeight="1">
      <c r="A128" s="9" t="n"/>
      <c r="B128" s="10" t="n"/>
      <c r="C128" s="10" t="n"/>
      <c r="D128" s="13">
        <f>IF($A128="","",D128)</f>
        <v/>
      </c>
      <c r="E128" s="10" t="n"/>
      <c r="F128" s="10" t="n"/>
      <c r="G128" s="10" t="n"/>
      <c r="H128" s="11">
        <f>IF($A128="","",IFERROR(B128/C128,0))</f>
        <v/>
      </c>
      <c r="I128" s="11">
        <f>IF($A128="","",IFERROR(B128/C128,0))</f>
        <v/>
      </c>
      <c r="J128" s="11">
        <f>IF($A128="","",IFERROR((C128-B128)/C128,0))</f>
        <v/>
      </c>
      <c r="K128" s="13">
        <f>IF($A128="","",D128)</f>
        <v/>
      </c>
      <c r="L128" s="13">
        <f>IF($A128="","",E128)</f>
        <v/>
      </c>
      <c r="M128" s="12">
        <f>IF($A128="","",F128)</f>
        <v/>
      </c>
      <c r="N128" s="14">
        <f>IF($A128="","",IFERROR(G128/Social!B128,0))</f>
        <v/>
      </c>
    </row>
    <row r="129" ht="22" customHeight="1">
      <c r="A129" s="9" t="n"/>
      <c r="B129" s="10" t="n"/>
      <c r="C129" s="10" t="n"/>
      <c r="D129" s="13">
        <f>IF($A129="","",D129)</f>
        <v/>
      </c>
      <c r="E129" s="10" t="n"/>
      <c r="F129" s="10" t="n"/>
      <c r="G129" s="10" t="n"/>
      <c r="H129" s="11">
        <f>IF($A129="","",IFERROR(B129/C129,0))</f>
        <v/>
      </c>
      <c r="I129" s="11">
        <f>IF($A129="","",IFERROR(B129/C129,0))</f>
        <v/>
      </c>
      <c r="J129" s="11">
        <f>IF($A129="","",IFERROR((C129-B129)/C129,0))</f>
        <v/>
      </c>
      <c r="K129" s="13">
        <f>IF($A129="","",D129)</f>
        <v/>
      </c>
      <c r="L129" s="13">
        <f>IF($A129="","",E129)</f>
        <v/>
      </c>
      <c r="M129" s="12">
        <f>IF($A129="","",F129)</f>
        <v/>
      </c>
      <c r="N129" s="14">
        <f>IF($A129="","",IFERROR(G129/Social!B129,0))</f>
        <v/>
      </c>
    </row>
    <row r="130" ht="22" customHeight="1">
      <c r="A130" s="9" t="n"/>
      <c r="B130" s="10" t="n"/>
      <c r="C130" s="10" t="n"/>
      <c r="D130" s="13">
        <f>IF($A130="","",D130)</f>
        <v/>
      </c>
      <c r="E130" s="10" t="n"/>
      <c r="F130" s="10" t="n"/>
      <c r="G130" s="10" t="n"/>
      <c r="H130" s="11">
        <f>IF($A130="","",IFERROR(B130/C130,0))</f>
        <v/>
      </c>
      <c r="I130" s="11">
        <f>IF($A130="","",IFERROR(B130/C130,0))</f>
        <v/>
      </c>
      <c r="J130" s="11">
        <f>IF($A130="","",IFERROR((C130-B130)/C130,0))</f>
        <v/>
      </c>
      <c r="K130" s="13">
        <f>IF($A130="","",D130)</f>
        <v/>
      </c>
      <c r="L130" s="13">
        <f>IF($A130="","",E130)</f>
        <v/>
      </c>
      <c r="M130" s="12">
        <f>IF($A130="","",F130)</f>
        <v/>
      </c>
      <c r="N130" s="14">
        <f>IF($A130="","",IFERROR(G130/Social!B130,0))</f>
        <v/>
      </c>
    </row>
    <row r="131" ht="22" customHeight="1">
      <c r="A131" s="9" t="n"/>
      <c r="B131" s="10" t="n"/>
      <c r="C131" s="10" t="n"/>
      <c r="D131" s="13">
        <f>IF($A131="","",D131)</f>
        <v/>
      </c>
      <c r="E131" s="10" t="n"/>
      <c r="F131" s="10" t="n"/>
      <c r="G131" s="10" t="n"/>
      <c r="H131" s="11">
        <f>IF($A131="","",IFERROR(B131/C131,0))</f>
        <v/>
      </c>
      <c r="I131" s="11">
        <f>IF($A131="","",IFERROR(B131/C131,0))</f>
        <v/>
      </c>
      <c r="J131" s="11">
        <f>IF($A131="","",IFERROR((C131-B131)/C131,0))</f>
        <v/>
      </c>
      <c r="K131" s="13">
        <f>IF($A131="","",D131)</f>
        <v/>
      </c>
      <c r="L131" s="13">
        <f>IF($A131="","",E131)</f>
        <v/>
      </c>
      <c r="M131" s="12">
        <f>IF($A131="","",F131)</f>
        <v/>
      </c>
      <c r="N131" s="14">
        <f>IF($A131="","",IFERROR(G131/Social!B131,0))</f>
        <v/>
      </c>
    </row>
    <row r="132" ht="22" customHeight="1">
      <c r="A132" s="9" t="n"/>
      <c r="B132" s="10" t="n"/>
      <c r="C132" s="10" t="n"/>
      <c r="D132" s="13">
        <f>IF($A132="","",D132)</f>
        <v/>
      </c>
      <c r="E132" s="10" t="n"/>
      <c r="F132" s="10" t="n"/>
      <c r="G132" s="10" t="n"/>
      <c r="H132" s="11">
        <f>IF($A132="","",IFERROR(B132/C132,0))</f>
        <v/>
      </c>
      <c r="I132" s="11">
        <f>IF($A132="","",IFERROR(B132/C132,0))</f>
        <v/>
      </c>
      <c r="J132" s="11">
        <f>IF($A132="","",IFERROR((C132-B132)/C132,0))</f>
        <v/>
      </c>
      <c r="K132" s="13">
        <f>IF($A132="","",D132)</f>
        <v/>
      </c>
      <c r="L132" s="13">
        <f>IF($A132="","",E132)</f>
        <v/>
      </c>
      <c r="M132" s="12">
        <f>IF($A132="","",F132)</f>
        <v/>
      </c>
      <c r="N132" s="14">
        <f>IF($A132="","",IFERROR(G132/Social!B132,0))</f>
        <v/>
      </c>
    </row>
    <row r="133" ht="22" customHeight="1">
      <c r="A133" s="9" t="n"/>
      <c r="B133" s="10" t="n"/>
      <c r="C133" s="10" t="n"/>
      <c r="D133" s="13">
        <f>IF($A133="","",D133)</f>
        <v/>
      </c>
      <c r="E133" s="10" t="n"/>
      <c r="F133" s="10" t="n"/>
      <c r="G133" s="10" t="n"/>
      <c r="H133" s="11">
        <f>IF($A133="","",IFERROR(B133/C133,0))</f>
        <v/>
      </c>
      <c r="I133" s="11">
        <f>IF($A133="","",IFERROR(B133/C133,0))</f>
        <v/>
      </c>
      <c r="J133" s="11">
        <f>IF($A133="","",IFERROR((C133-B133)/C133,0))</f>
        <v/>
      </c>
      <c r="K133" s="13">
        <f>IF($A133="","",D133)</f>
        <v/>
      </c>
      <c r="L133" s="13">
        <f>IF($A133="","",E133)</f>
        <v/>
      </c>
      <c r="M133" s="12">
        <f>IF($A133="","",F133)</f>
        <v/>
      </c>
      <c r="N133" s="14">
        <f>IF($A133="","",IFERROR(G133/Social!B133,0))</f>
        <v/>
      </c>
    </row>
    <row r="134" ht="22" customHeight="1">
      <c r="A134" s="9" t="n"/>
      <c r="B134" s="10" t="n"/>
      <c r="C134" s="10" t="n"/>
      <c r="D134" s="13">
        <f>IF($A134="","",D134)</f>
        <v/>
      </c>
      <c r="E134" s="10" t="n"/>
      <c r="F134" s="10" t="n"/>
      <c r="G134" s="10" t="n"/>
      <c r="H134" s="11">
        <f>IF($A134="","",IFERROR(B134/C134,0))</f>
        <v/>
      </c>
      <c r="I134" s="11">
        <f>IF($A134="","",IFERROR(B134/C134,0))</f>
        <v/>
      </c>
      <c r="J134" s="11">
        <f>IF($A134="","",IFERROR((C134-B134)/C134,0))</f>
        <v/>
      </c>
      <c r="K134" s="13">
        <f>IF($A134="","",D134)</f>
        <v/>
      </c>
      <c r="L134" s="13">
        <f>IF($A134="","",E134)</f>
        <v/>
      </c>
      <c r="M134" s="12">
        <f>IF($A134="","",F134)</f>
        <v/>
      </c>
      <c r="N134" s="14">
        <f>IF($A134="","",IFERROR(G134/Social!B134,0))</f>
        <v/>
      </c>
    </row>
    <row r="135" ht="22" customHeight="1">
      <c r="A135" s="9" t="n"/>
      <c r="B135" s="10" t="n"/>
      <c r="C135" s="10" t="n"/>
      <c r="D135" s="13">
        <f>IF($A135="","",D135)</f>
        <v/>
      </c>
      <c r="E135" s="10" t="n"/>
      <c r="F135" s="10" t="n"/>
      <c r="G135" s="10" t="n"/>
      <c r="H135" s="11">
        <f>IF($A135="","",IFERROR(B135/C135,0))</f>
        <v/>
      </c>
      <c r="I135" s="11">
        <f>IF($A135="","",IFERROR(B135/C135,0))</f>
        <v/>
      </c>
      <c r="J135" s="11">
        <f>IF($A135="","",IFERROR((C135-B135)/C135,0))</f>
        <v/>
      </c>
      <c r="K135" s="13">
        <f>IF($A135="","",D135)</f>
        <v/>
      </c>
      <c r="L135" s="13">
        <f>IF($A135="","",E135)</f>
        <v/>
      </c>
      <c r="M135" s="12">
        <f>IF($A135="","",F135)</f>
        <v/>
      </c>
      <c r="N135" s="14">
        <f>IF($A135="","",IFERROR(G135/Social!B135,0))</f>
        <v/>
      </c>
    </row>
    <row r="136" ht="22" customHeight="1">
      <c r="A136" s="9" t="n"/>
      <c r="B136" s="10" t="n"/>
      <c r="C136" s="10" t="n"/>
      <c r="D136" s="13">
        <f>IF($A136="","",D136)</f>
        <v/>
      </c>
      <c r="E136" s="10" t="n"/>
      <c r="F136" s="10" t="n"/>
      <c r="G136" s="10" t="n"/>
      <c r="H136" s="11">
        <f>IF($A136="","",IFERROR(B136/C136,0))</f>
        <v/>
      </c>
      <c r="I136" s="11">
        <f>IF($A136="","",IFERROR(B136/C136,0))</f>
        <v/>
      </c>
      <c r="J136" s="11">
        <f>IF($A136="","",IFERROR((C136-B136)/C136,0))</f>
        <v/>
      </c>
      <c r="K136" s="13">
        <f>IF($A136="","",D136)</f>
        <v/>
      </c>
      <c r="L136" s="13">
        <f>IF($A136="","",E136)</f>
        <v/>
      </c>
      <c r="M136" s="12">
        <f>IF($A136="","",F136)</f>
        <v/>
      </c>
      <c r="N136" s="14">
        <f>IF($A136="","",IFERROR(G136/Social!B136,0))</f>
        <v/>
      </c>
    </row>
    <row r="137" ht="22" customHeight="1">
      <c r="A137" s="9" t="n"/>
      <c r="B137" s="10" t="n"/>
      <c r="C137" s="10" t="n"/>
      <c r="D137" s="13">
        <f>IF($A137="","",D137)</f>
        <v/>
      </c>
      <c r="E137" s="10" t="n"/>
      <c r="F137" s="10" t="n"/>
      <c r="G137" s="10" t="n"/>
      <c r="H137" s="11">
        <f>IF($A137="","",IFERROR(B137/C137,0))</f>
        <v/>
      </c>
      <c r="I137" s="11">
        <f>IF($A137="","",IFERROR(B137/C137,0))</f>
        <v/>
      </c>
      <c r="J137" s="11">
        <f>IF($A137="","",IFERROR((C137-B137)/C137,0))</f>
        <v/>
      </c>
      <c r="K137" s="13">
        <f>IF($A137="","",D137)</f>
        <v/>
      </c>
      <c r="L137" s="13">
        <f>IF($A137="","",E137)</f>
        <v/>
      </c>
      <c r="M137" s="12">
        <f>IF($A137="","",F137)</f>
        <v/>
      </c>
      <c r="N137" s="14">
        <f>IF($A137="","",IFERROR(G137/Social!B137,0))</f>
        <v/>
      </c>
    </row>
    <row r="138" ht="22" customHeight="1">
      <c r="A138" s="9" t="n"/>
      <c r="B138" s="10" t="n"/>
      <c r="C138" s="10" t="n"/>
      <c r="D138" s="13">
        <f>IF($A138="","",D138)</f>
        <v/>
      </c>
      <c r="E138" s="10" t="n"/>
      <c r="F138" s="10" t="n"/>
      <c r="G138" s="10" t="n"/>
      <c r="H138" s="11">
        <f>IF($A138="","",IFERROR(B138/C138,0))</f>
        <v/>
      </c>
      <c r="I138" s="11">
        <f>IF($A138="","",IFERROR(B138/C138,0))</f>
        <v/>
      </c>
      <c r="J138" s="11">
        <f>IF($A138="","",IFERROR((C138-B138)/C138,0))</f>
        <v/>
      </c>
      <c r="K138" s="13">
        <f>IF($A138="","",D138)</f>
        <v/>
      </c>
      <c r="L138" s="13">
        <f>IF($A138="","",E138)</f>
        <v/>
      </c>
      <c r="M138" s="12">
        <f>IF($A138="","",F138)</f>
        <v/>
      </c>
      <c r="N138" s="14">
        <f>IF($A138="","",IFERROR(G138/Social!B138,0))</f>
        <v/>
      </c>
    </row>
    <row r="139" ht="22" customHeight="1">
      <c r="A139" s="9" t="n"/>
      <c r="B139" s="10" t="n"/>
      <c r="C139" s="10" t="n"/>
      <c r="D139" s="13">
        <f>IF($A139="","",D139)</f>
        <v/>
      </c>
      <c r="E139" s="10" t="n"/>
      <c r="F139" s="10" t="n"/>
      <c r="G139" s="10" t="n"/>
      <c r="H139" s="11">
        <f>IF($A139="","",IFERROR(B139/C139,0))</f>
        <v/>
      </c>
      <c r="I139" s="11">
        <f>IF($A139="","",IFERROR(B139/C139,0))</f>
        <v/>
      </c>
      <c r="J139" s="11">
        <f>IF($A139="","",IFERROR((C139-B139)/C139,0))</f>
        <v/>
      </c>
      <c r="K139" s="13">
        <f>IF($A139="","",D139)</f>
        <v/>
      </c>
      <c r="L139" s="13">
        <f>IF($A139="","",E139)</f>
        <v/>
      </c>
      <c r="M139" s="12">
        <f>IF($A139="","",F139)</f>
        <v/>
      </c>
      <c r="N139" s="14">
        <f>IF($A139="","",IFERROR(G139/Social!B139,0))</f>
        <v/>
      </c>
    </row>
    <row r="140" ht="22" customHeight="1">
      <c r="A140" s="9" t="n"/>
      <c r="B140" s="10" t="n"/>
      <c r="C140" s="10" t="n"/>
      <c r="D140" s="13">
        <f>IF($A140="","",D140)</f>
        <v/>
      </c>
      <c r="E140" s="10" t="n"/>
      <c r="F140" s="10" t="n"/>
      <c r="G140" s="10" t="n"/>
      <c r="H140" s="11">
        <f>IF($A140="","",IFERROR(B140/C140,0))</f>
        <v/>
      </c>
      <c r="I140" s="11">
        <f>IF($A140="","",IFERROR(B140/C140,0))</f>
        <v/>
      </c>
      <c r="J140" s="11">
        <f>IF($A140="","",IFERROR((C140-B140)/C140,0))</f>
        <v/>
      </c>
      <c r="K140" s="13">
        <f>IF($A140="","",D140)</f>
        <v/>
      </c>
      <c r="L140" s="13">
        <f>IF($A140="","",E140)</f>
        <v/>
      </c>
      <c r="M140" s="12">
        <f>IF($A140="","",F140)</f>
        <v/>
      </c>
      <c r="N140" s="14">
        <f>IF($A140="","",IFERROR(G140/Social!B140,0))</f>
        <v/>
      </c>
    </row>
    <row r="141" ht="22" customHeight="1">
      <c r="A141" s="9" t="n"/>
      <c r="B141" s="10" t="n"/>
      <c r="C141" s="10" t="n"/>
      <c r="D141" s="13">
        <f>IF($A141="","",D141)</f>
        <v/>
      </c>
      <c r="E141" s="10" t="n"/>
      <c r="F141" s="10" t="n"/>
      <c r="G141" s="10" t="n"/>
      <c r="H141" s="11">
        <f>IF($A141="","",IFERROR(B141/C141,0))</f>
        <v/>
      </c>
      <c r="I141" s="11">
        <f>IF($A141="","",IFERROR(B141/C141,0))</f>
        <v/>
      </c>
      <c r="J141" s="11">
        <f>IF($A141="","",IFERROR((C141-B141)/C141,0))</f>
        <v/>
      </c>
      <c r="K141" s="13">
        <f>IF($A141="","",D141)</f>
        <v/>
      </c>
      <c r="L141" s="13">
        <f>IF($A141="","",E141)</f>
        <v/>
      </c>
      <c r="M141" s="12">
        <f>IF($A141="","",F141)</f>
        <v/>
      </c>
      <c r="N141" s="14">
        <f>IF($A141="","",IFERROR(G141/Social!B141,0))</f>
        <v/>
      </c>
    </row>
    <row r="142" ht="22" customHeight="1">
      <c r="A142" s="9" t="n"/>
      <c r="B142" s="10" t="n"/>
      <c r="C142" s="10" t="n"/>
      <c r="D142" s="13">
        <f>IF($A142="","",D142)</f>
        <v/>
      </c>
      <c r="E142" s="10" t="n"/>
      <c r="F142" s="10" t="n"/>
      <c r="G142" s="10" t="n"/>
      <c r="H142" s="11">
        <f>IF($A142="","",IFERROR(B142/C142,0))</f>
        <v/>
      </c>
      <c r="I142" s="11">
        <f>IF($A142="","",IFERROR(B142/C142,0))</f>
        <v/>
      </c>
      <c r="J142" s="11">
        <f>IF($A142="","",IFERROR((C142-B142)/C142,0))</f>
        <v/>
      </c>
      <c r="K142" s="13">
        <f>IF($A142="","",D142)</f>
        <v/>
      </c>
      <c r="L142" s="13">
        <f>IF($A142="","",E142)</f>
        <v/>
      </c>
      <c r="M142" s="12">
        <f>IF($A142="","",F142)</f>
        <v/>
      </c>
      <c r="N142" s="14">
        <f>IF($A142="","",IFERROR(G142/Social!B142,0))</f>
        <v/>
      </c>
    </row>
    <row r="143" ht="22" customHeight="1">
      <c r="A143" s="9" t="n"/>
      <c r="B143" s="10" t="n"/>
      <c r="C143" s="10" t="n"/>
      <c r="D143" s="13">
        <f>IF($A143="","",D143)</f>
        <v/>
      </c>
      <c r="E143" s="10" t="n"/>
      <c r="F143" s="10" t="n"/>
      <c r="G143" s="10" t="n"/>
      <c r="H143" s="11">
        <f>IF($A143="","",IFERROR(B143/C143,0))</f>
        <v/>
      </c>
      <c r="I143" s="11">
        <f>IF($A143="","",IFERROR(B143/C143,0))</f>
        <v/>
      </c>
      <c r="J143" s="11">
        <f>IF($A143="","",IFERROR((C143-B143)/C143,0))</f>
        <v/>
      </c>
      <c r="K143" s="13">
        <f>IF($A143="","",D143)</f>
        <v/>
      </c>
      <c r="L143" s="13">
        <f>IF($A143="","",E143)</f>
        <v/>
      </c>
      <c r="M143" s="12">
        <f>IF($A143="","",F143)</f>
        <v/>
      </c>
      <c r="N143" s="14">
        <f>IF($A143="","",IFERROR(G143/Social!B143,0))</f>
        <v/>
      </c>
    </row>
    <row r="144" ht="22" customHeight="1">
      <c r="A144" s="9" t="n"/>
      <c r="B144" s="10" t="n"/>
      <c r="C144" s="10" t="n"/>
      <c r="D144" s="13">
        <f>IF($A144="","",D144)</f>
        <v/>
      </c>
      <c r="E144" s="10" t="n"/>
      <c r="F144" s="10" t="n"/>
      <c r="G144" s="10" t="n"/>
      <c r="H144" s="11">
        <f>IF($A144="","",IFERROR(B144/C144,0))</f>
        <v/>
      </c>
      <c r="I144" s="11">
        <f>IF($A144="","",IFERROR(B144/C144,0))</f>
        <v/>
      </c>
      <c r="J144" s="11">
        <f>IF($A144="","",IFERROR((C144-B144)/C144,0))</f>
        <v/>
      </c>
      <c r="K144" s="13">
        <f>IF($A144="","",D144)</f>
        <v/>
      </c>
      <c r="L144" s="13">
        <f>IF($A144="","",E144)</f>
        <v/>
      </c>
      <c r="M144" s="12">
        <f>IF($A144="","",F144)</f>
        <v/>
      </c>
      <c r="N144" s="14">
        <f>IF($A144="","",IFERROR(G144/Social!B144,0))</f>
        <v/>
      </c>
    </row>
    <row r="145" ht="22" customHeight="1">
      <c r="A145" s="9" t="n"/>
      <c r="B145" s="10" t="n"/>
      <c r="C145" s="10" t="n"/>
      <c r="D145" s="13">
        <f>IF($A145="","",D145)</f>
        <v/>
      </c>
      <c r="E145" s="10" t="n"/>
      <c r="F145" s="10" t="n"/>
      <c r="G145" s="10" t="n"/>
      <c r="H145" s="11">
        <f>IF($A145="","",IFERROR(B145/C145,0))</f>
        <v/>
      </c>
      <c r="I145" s="11">
        <f>IF($A145="","",IFERROR(B145/C145,0))</f>
        <v/>
      </c>
      <c r="J145" s="11">
        <f>IF($A145="","",IFERROR((C145-B145)/C145,0))</f>
        <v/>
      </c>
      <c r="K145" s="13">
        <f>IF($A145="","",D145)</f>
        <v/>
      </c>
      <c r="L145" s="13">
        <f>IF($A145="","",E145)</f>
        <v/>
      </c>
      <c r="M145" s="12">
        <f>IF($A145="","",F145)</f>
        <v/>
      </c>
      <c r="N145" s="14">
        <f>IF($A145="","",IFERROR(G145/Social!B145,0))</f>
        <v/>
      </c>
    </row>
    <row r="146" ht="22" customHeight="1">
      <c r="A146" s="9" t="n"/>
      <c r="B146" s="10" t="n"/>
      <c r="C146" s="10" t="n"/>
      <c r="D146" s="13">
        <f>IF($A146="","",D146)</f>
        <v/>
      </c>
      <c r="E146" s="10" t="n"/>
      <c r="F146" s="10" t="n"/>
      <c r="G146" s="10" t="n"/>
      <c r="H146" s="11">
        <f>IF($A146="","",IFERROR(B146/C146,0))</f>
        <v/>
      </c>
      <c r="I146" s="11">
        <f>IF($A146="","",IFERROR(B146/C146,0))</f>
        <v/>
      </c>
      <c r="J146" s="11">
        <f>IF($A146="","",IFERROR((C146-B146)/C146,0))</f>
        <v/>
      </c>
      <c r="K146" s="13">
        <f>IF($A146="","",D146)</f>
        <v/>
      </c>
      <c r="L146" s="13">
        <f>IF($A146="","",E146)</f>
        <v/>
      </c>
      <c r="M146" s="12">
        <f>IF($A146="","",F146)</f>
        <v/>
      </c>
      <c r="N146" s="14">
        <f>IF($A146="","",IFERROR(G146/Social!B146,0))</f>
        <v/>
      </c>
    </row>
    <row r="147" ht="22" customHeight="1">
      <c r="A147" s="9" t="n"/>
      <c r="B147" s="10" t="n"/>
      <c r="C147" s="10" t="n"/>
      <c r="D147" s="13">
        <f>IF($A147="","",D147)</f>
        <v/>
      </c>
      <c r="E147" s="10" t="n"/>
      <c r="F147" s="10" t="n"/>
      <c r="G147" s="10" t="n"/>
      <c r="H147" s="11">
        <f>IF($A147="","",IFERROR(B147/C147,0))</f>
        <v/>
      </c>
      <c r="I147" s="11">
        <f>IF($A147="","",IFERROR(B147/C147,0))</f>
        <v/>
      </c>
      <c r="J147" s="11">
        <f>IF($A147="","",IFERROR((C147-B147)/C147,0))</f>
        <v/>
      </c>
      <c r="K147" s="13">
        <f>IF($A147="","",D147)</f>
        <v/>
      </c>
      <c r="L147" s="13">
        <f>IF($A147="","",E147)</f>
        <v/>
      </c>
      <c r="M147" s="12">
        <f>IF($A147="","",F147)</f>
        <v/>
      </c>
      <c r="N147" s="14">
        <f>IF($A147="","",IFERROR(G147/Social!B147,0))</f>
        <v/>
      </c>
    </row>
    <row r="148" ht="22" customHeight="1">
      <c r="A148" s="9" t="n"/>
      <c r="B148" s="10" t="n"/>
      <c r="C148" s="10" t="n"/>
      <c r="D148" s="13">
        <f>IF($A148="","",D148)</f>
        <v/>
      </c>
      <c r="E148" s="10" t="n"/>
      <c r="F148" s="10" t="n"/>
      <c r="G148" s="10" t="n"/>
      <c r="H148" s="11">
        <f>IF($A148="","",IFERROR(B148/C148,0))</f>
        <v/>
      </c>
      <c r="I148" s="11">
        <f>IF($A148="","",IFERROR(B148/C148,0))</f>
        <v/>
      </c>
      <c r="J148" s="11">
        <f>IF($A148="","",IFERROR((C148-B148)/C148,0))</f>
        <v/>
      </c>
      <c r="K148" s="13">
        <f>IF($A148="","",D148)</f>
        <v/>
      </c>
      <c r="L148" s="13">
        <f>IF($A148="","",E148)</f>
        <v/>
      </c>
      <c r="M148" s="12">
        <f>IF($A148="","",F148)</f>
        <v/>
      </c>
      <c r="N148" s="14">
        <f>IF($A148="","",IFERROR(G148/Social!B148,0))</f>
        <v/>
      </c>
    </row>
    <row r="149" ht="22" customHeight="1">
      <c r="A149" s="9" t="n"/>
      <c r="B149" s="10" t="n"/>
      <c r="C149" s="10" t="n"/>
      <c r="D149" s="13">
        <f>IF($A149="","",D149)</f>
        <v/>
      </c>
      <c r="E149" s="10" t="n"/>
      <c r="F149" s="10" t="n"/>
      <c r="G149" s="10" t="n"/>
      <c r="H149" s="11">
        <f>IF($A149="","",IFERROR(B149/C149,0))</f>
        <v/>
      </c>
      <c r="I149" s="11">
        <f>IF($A149="","",IFERROR(B149/C149,0))</f>
        <v/>
      </c>
      <c r="J149" s="11">
        <f>IF($A149="","",IFERROR((C149-B149)/C149,0))</f>
        <v/>
      </c>
      <c r="K149" s="13">
        <f>IF($A149="","",D149)</f>
        <v/>
      </c>
      <c r="L149" s="13">
        <f>IF($A149="","",E149)</f>
        <v/>
      </c>
      <c r="M149" s="12">
        <f>IF($A149="","",F149)</f>
        <v/>
      </c>
      <c r="N149" s="14">
        <f>IF($A149="","",IFERROR(G149/Social!B149,0))</f>
        <v/>
      </c>
    </row>
    <row r="150" ht="22" customHeight="1">
      <c r="A150" s="9" t="n"/>
      <c r="B150" s="10" t="n"/>
      <c r="C150" s="10" t="n"/>
      <c r="D150" s="13">
        <f>IF($A150="","",D150)</f>
        <v/>
      </c>
      <c r="E150" s="10" t="n"/>
      <c r="F150" s="10" t="n"/>
      <c r="G150" s="10" t="n"/>
      <c r="H150" s="11">
        <f>IF($A150="","",IFERROR(B150/C150,0))</f>
        <v/>
      </c>
      <c r="I150" s="11">
        <f>IF($A150="","",IFERROR(B150/C150,0))</f>
        <v/>
      </c>
      <c r="J150" s="11">
        <f>IF($A150="","",IFERROR((C150-B150)/C150,0))</f>
        <v/>
      </c>
      <c r="K150" s="13">
        <f>IF($A150="","",D150)</f>
        <v/>
      </c>
      <c r="L150" s="13">
        <f>IF($A150="","",E150)</f>
        <v/>
      </c>
      <c r="M150" s="12">
        <f>IF($A150="","",F150)</f>
        <v/>
      </c>
      <c r="N150" s="14">
        <f>IF($A150="","",IFERROR(G150/Social!B150,0))</f>
        <v/>
      </c>
    </row>
    <row r="151" ht="22" customHeight="1">
      <c r="A151" s="9" t="n"/>
      <c r="B151" s="10" t="n"/>
      <c r="C151" s="10" t="n"/>
      <c r="D151" s="13">
        <f>IF($A151="","",D151)</f>
        <v/>
      </c>
      <c r="E151" s="10" t="n"/>
      <c r="F151" s="10" t="n"/>
      <c r="G151" s="10" t="n"/>
      <c r="H151" s="11">
        <f>IF($A151="","",IFERROR(B151/C151,0))</f>
        <v/>
      </c>
      <c r="I151" s="11">
        <f>IF($A151="","",IFERROR(B151/C151,0))</f>
        <v/>
      </c>
      <c r="J151" s="11">
        <f>IF($A151="","",IFERROR((C151-B151)/C151,0))</f>
        <v/>
      </c>
      <c r="K151" s="13">
        <f>IF($A151="","",D151)</f>
        <v/>
      </c>
      <c r="L151" s="13">
        <f>IF($A151="","",E151)</f>
        <v/>
      </c>
      <c r="M151" s="12">
        <f>IF($A151="","",F151)</f>
        <v/>
      </c>
      <c r="N151" s="14">
        <f>IF($A151="","",IFERROR(G151/Social!B151,0))</f>
        <v/>
      </c>
    </row>
    <row r="152" ht="22" customHeight="1">
      <c r="A152" s="9" t="n"/>
      <c r="B152" s="10" t="n"/>
      <c r="C152" s="10" t="n"/>
      <c r="D152" s="13">
        <f>IF($A152="","",D152)</f>
        <v/>
      </c>
      <c r="E152" s="10" t="n"/>
      <c r="F152" s="10" t="n"/>
      <c r="G152" s="10" t="n"/>
      <c r="H152" s="11">
        <f>IF($A152="","",IFERROR(B152/C152,0))</f>
        <v/>
      </c>
      <c r="I152" s="11">
        <f>IF($A152="","",IFERROR(B152/C152,0))</f>
        <v/>
      </c>
      <c r="J152" s="11">
        <f>IF($A152="","",IFERROR((C152-B152)/C152,0))</f>
        <v/>
      </c>
      <c r="K152" s="13">
        <f>IF($A152="","",D152)</f>
        <v/>
      </c>
      <c r="L152" s="13">
        <f>IF($A152="","",E152)</f>
        <v/>
      </c>
      <c r="M152" s="12">
        <f>IF($A152="","",F152)</f>
        <v/>
      </c>
      <c r="N152" s="14">
        <f>IF($A152="","",IFERROR(G152/Social!B152,0))</f>
        <v/>
      </c>
    </row>
    <row r="153" ht="22" customHeight="1">
      <c r="A153" s="9" t="n"/>
      <c r="B153" s="10" t="n"/>
      <c r="C153" s="10" t="n"/>
      <c r="D153" s="13">
        <f>IF($A153="","",D153)</f>
        <v/>
      </c>
      <c r="E153" s="10" t="n"/>
      <c r="F153" s="10" t="n"/>
      <c r="G153" s="10" t="n"/>
      <c r="H153" s="11">
        <f>IF($A153="","",IFERROR(B153/C153,0))</f>
        <v/>
      </c>
      <c r="I153" s="11">
        <f>IF($A153="","",IFERROR(B153/C153,0))</f>
        <v/>
      </c>
      <c r="J153" s="11">
        <f>IF($A153="","",IFERROR((C153-B153)/C153,0))</f>
        <v/>
      </c>
      <c r="K153" s="13">
        <f>IF($A153="","",D153)</f>
        <v/>
      </c>
      <c r="L153" s="13">
        <f>IF($A153="","",E153)</f>
        <v/>
      </c>
      <c r="M153" s="12">
        <f>IF($A153="","",F153)</f>
        <v/>
      </c>
      <c r="N153" s="14">
        <f>IF($A153="","",IFERROR(G153/Social!B153,0))</f>
        <v/>
      </c>
    </row>
    <row r="154" ht="22" customHeight="1">
      <c r="A154" s="9" t="n"/>
      <c r="B154" s="10" t="n"/>
      <c r="C154" s="10" t="n"/>
      <c r="D154" s="13">
        <f>IF($A154="","",D154)</f>
        <v/>
      </c>
      <c r="E154" s="10" t="n"/>
      <c r="F154" s="10" t="n"/>
      <c r="G154" s="10" t="n"/>
      <c r="H154" s="11">
        <f>IF($A154="","",IFERROR(B154/C154,0))</f>
        <v/>
      </c>
      <c r="I154" s="11">
        <f>IF($A154="","",IFERROR(B154/C154,0))</f>
        <v/>
      </c>
      <c r="J154" s="11">
        <f>IF($A154="","",IFERROR((C154-B154)/C154,0))</f>
        <v/>
      </c>
      <c r="K154" s="13">
        <f>IF($A154="","",D154)</f>
        <v/>
      </c>
      <c r="L154" s="13">
        <f>IF($A154="","",E154)</f>
        <v/>
      </c>
      <c r="M154" s="12">
        <f>IF($A154="","",F154)</f>
        <v/>
      </c>
      <c r="N154" s="14">
        <f>IF($A154="","",IFERROR(G154/Social!B154,0))</f>
        <v/>
      </c>
    </row>
    <row r="155" ht="22" customHeight="1">
      <c r="A155" s="9" t="n"/>
      <c r="B155" s="10" t="n"/>
      <c r="C155" s="10" t="n"/>
      <c r="D155" s="13">
        <f>IF($A155="","",D155)</f>
        <v/>
      </c>
      <c r="E155" s="10" t="n"/>
      <c r="F155" s="10" t="n"/>
      <c r="G155" s="10" t="n"/>
      <c r="H155" s="11">
        <f>IF($A155="","",IFERROR(B155/C155,0))</f>
        <v/>
      </c>
      <c r="I155" s="11">
        <f>IF($A155="","",IFERROR(B155/C155,0))</f>
        <v/>
      </c>
      <c r="J155" s="11">
        <f>IF($A155="","",IFERROR((C155-B155)/C155,0))</f>
        <v/>
      </c>
      <c r="K155" s="13">
        <f>IF($A155="","",D155)</f>
        <v/>
      </c>
      <c r="L155" s="13">
        <f>IF($A155="","",E155)</f>
        <v/>
      </c>
      <c r="M155" s="12">
        <f>IF($A155="","",F155)</f>
        <v/>
      </c>
      <c r="N155" s="14">
        <f>IF($A155="","",IFERROR(G155/Social!B155,0))</f>
        <v/>
      </c>
    </row>
    <row r="156" ht="22" customHeight="1">
      <c r="A156" s="9" t="n"/>
      <c r="B156" s="10" t="n"/>
      <c r="C156" s="10" t="n"/>
      <c r="D156" s="13">
        <f>IF($A156="","",D156)</f>
        <v/>
      </c>
      <c r="E156" s="10" t="n"/>
      <c r="F156" s="10" t="n"/>
      <c r="G156" s="10" t="n"/>
      <c r="H156" s="11">
        <f>IF($A156="","",IFERROR(B156/C156,0))</f>
        <v/>
      </c>
      <c r="I156" s="11">
        <f>IF($A156="","",IFERROR(B156/C156,0))</f>
        <v/>
      </c>
      <c r="J156" s="11">
        <f>IF($A156="","",IFERROR((C156-B156)/C156,0))</f>
        <v/>
      </c>
      <c r="K156" s="13">
        <f>IF($A156="","",D156)</f>
        <v/>
      </c>
      <c r="L156" s="13">
        <f>IF($A156="","",E156)</f>
        <v/>
      </c>
      <c r="M156" s="12">
        <f>IF($A156="","",F156)</f>
        <v/>
      </c>
      <c r="N156" s="14">
        <f>IF($A156="","",IFERROR(G156/Social!B156,0))</f>
        <v/>
      </c>
    </row>
    <row r="157" ht="22" customHeight="1">
      <c r="A157" s="9" t="n"/>
      <c r="B157" s="10" t="n"/>
      <c r="C157" s="10" t="n"/>
      <c r="D157" s="13">
        <f>IF($A157="","",D157)</f>
        <v/>
      </c>
      <c r="E157" s="10" t="n"/>
      <c r="F157" s="10" t="n"/>
      <c r="G157" s="10" t="n"/>
      <c r="H157" s="11">
        <f>IF($A157="","",IFERROR(B157/C157,0))</f>
        <v/>
      </c>
      <c r="I157" s="11">
        <f>IF($A157="","",IFERROR(B157/C157,0))</f>
        <v/>
      </c>
      <c r="J157" s="11">
        <f>IF($A157="","",IFERROR((C157-B157)/C157,0))</f>
        <v/>
      </c>
      <c r="K157" s="13">
        <f>IF($A157="","",D157)</f>
        <v/>
      </c>
      <c r="L157" s="13">
        <f>IF($A157="","",E157)</f>
        <v/>
      </c>
      <c r="M157" s="12">
        <f>IF($A157="","",F157)</f>
        <v/>
      </c>
      <c r="N157" s="14">
        <f>IF($A157="","",IFERROR(G157/Social!B157,0))</f>
        <v/>
      </c>
    </row>
    <row r="158" ht="22" customHeight="1">
      <c r="A158" s="9" t="n"/>
      <c r="B158" s="10" t="n"/>
      <c r="C158" s="10" t="n"/>
      <c r="D158" s="13">
        <f>IF($A158="","",D158)</f>
        <v/>
      </c>
      <c r="E158" s="10" t="n"/>
      <c r="F158" s="10" t="n"/>
      <c r="G158" s="10" t="n"/>
      <c r="H158" s="11">
        <f>IF($A158="","",IFERROR(B158/C158,0))</f>
        <v/>
      </c>
      <c r="I158" s="11">
        <f>IF($A158="","",IFERROR(B158/C158,0))</f>
        <v/>
      </c>
      <c r="J158" s="11">
        <f>IF($A158="","",IFERROR((C158-B158)/C158,0))</f>
        <v/>
      </c>
      <c r="K158" s="13">
        <f>IF($A158="","",D158)</f>
        <v/>
      </c>
      <c r="L158" s="13">
        <f>IF($A158="","",E158)</f>
        <v/>
      </c>
      <c r="M158" s="12">
        <f>IF($A158="","",F158)</f>
        <v/>
      </c>
      <c r="N158" s="14">
        <f>IF($A158="","",IFERROR(G158/Social!B158,0))</f>
        <v/>
      </c>
    </row>
    <row r="159" ht="22" customHeight="1">
      <c r="A159" s="9" t="n"/>
      <c r="B159" s="10" t="n"/>
      <c r="C159" s="10" t="n"/>
      <c r="D159" s="13">
        <f>IF($A159="","",D159)</f>
        <v/>
      </c>
      <c r="E159" s="10" t="n"/>
      <c r="F159" s="10" t="n"/>
      <c r="G159" s="10" t="n"/>
      <c r="H159" s="11">
        <f>IF($A159="","",IFERROR(B159/C159,0))</f>
        <v/>
      </c>
      <c r="I159" s="11">
        <f>IF($A159="","",IFERROR(B159/C159,0))</f>
        <v/>
      </c>
      <c r="J159" s="11">
        <f>IF($A159="","",IFERROR((C159-B159)/C159,0))</f>
        <v/>
      </c>
      <c r="K159" s="13">
        <f>IF($A159="","",D159)</f>
        <v/>
      </c>
      <c r="L159" s="13">
        <f>IF($A159="","",E159)</f>
        <v/>
      </c>
      <c r="M159" s="12">
        <f>IF($A159="","",F159)</f>
        <v/>
      </c>
      <c r="N159" s="14">
        <f>IF($A159="","",IFERROR(G159/Social!B159,0))</f>
        <v/>
      </c>
    </row>
    <row r="160" ht="22" customHeight="1">
      <c r="A160" s="9" t="n"/>
      <c r="B160" s="10" t="n"/>
      <c r="C160" s="10" t="n"/>
      <c r="D160" s="13">
        <f>IF($A160="","",D160)</f>
        <v/>
      </c>
      <c r="E160" s="10" t="n"/>
      <c r="F160" s="10" t="n"/>
      <c r="G160" s="10" t="n"/>
      <c r="H160" s="11">
        <f>IF($A160="","",IFERROR(B160/C160,0))</f>
        <v/>
      </c>
      <c r="I160" s="11">
        <f>IF($A160="","",IFERROR(B160/C160,0))</f>
        <v/>
      </c>
      <c r="J160" s="11">
        <f>IF($A160="","",IFERROR((C160-B160)/C160,0))</f>
        <v/>
      </c>
      <c r="K160" s="13">
        <f>IF($A160="","",D160)</f>
        <v/>
      </c>
      <c r="L160" s="13">
        <f>IF($A160="","",E160)</f>
        <v/>
      </c>
      <c r="M160" s="12">
        <f>IF($A160="","",F160)</f>
        <v/>
      </c>
      <c r="N160" s="14">
        <f>IF($A160="","",IFERROR(G160/Social!B160,0))</f>
        <v/>
      </c>
    </row>
    <row r="161" ht="22" customHeight="1">
      <c r="A161" s="9" t="n"/>
      <c r="B161" s="10" t="n"/>
      <c r="C161" s="10" t="n"/>
      <c r="D161" s="13">
        <f>IF($A161="","",D161)</f>
        <v/>
      </c>
      <c r="E161" s="10" t="n"/>
      <c r="F161" s="10" t="n"/>
      <c r="G161" s="10" t="n"/>
      <c r="H161" s="11">
        <f>IF($A161="","",IFERROR(B161/C161,0))</f>
        <v/>
      </c>
      <c r="I161" s="11">
        <f>IF($A161="","",IFERROR(B161/C161,0))</f>
        <v/>
      </c>
      <c r="J161" s="11">
        <f>IF($A161="","",IFERROR((C161-B161)/C161,0))</f>
        <v/>
      </c>
      <c r="K161" s="13">
        <f>IF($A161="","",D161)</f>
        <v/>
      </c>
      <c r="L161" s="13">
        <f>IF($A161="","",E161)</f>
        <v/>
      </c>
      <c r="M161" s="12">
        <f>IF($A161="","",F161)</f>
        <v/>
      </c>
      <c r="N161" s="14">
        <f>IF($A161="","",IFERROR(G161/Social!B161,0))</f>
        <v/>
      </c>
    </row>
    <row r="162" ht="22" customHeight="1">
      <c r="A162" s="9" t="n"/>
      <c r="B162" s="10" t="n"/>
      <c r="C162" s="10" t="n"/>
      <c r="D162" s="13">
        <f>IF($A162="","",D162)</f>
        <v/>
      </c>
      <c r="E162" s="10" t="n"/>
      <c r="F162" s="10" t="n"/>
      <c r="G162" s="10" t="n"/>
      <c r="H162" s="11">
        <f>IF($A162="","",IFERROR(B162/C162,0))</f>
        <v/>
      </c>
      <c r="I162" s="11">
        <f>IF($A162="","",IFERROR(B162/C162,0))</f>
        <v/>
      </c>
      <c r="J162" s="11">
        <f>IF($A162="","",IFERROR((C162-B162)/C162,0))</f>
        <v/>
      </c>
      <c r="K162" s="13">
        <f>IF($A162="","",D162)</f>
        <v/>
      </c>
      <c r="L162" s="13">
        <f>IF($A162="","",E162)</f>
        <v/>
      </c>
      <c r="M162" s="12">
        <f>IF($A162="","",F162)</f>
        <v/>
      </c>
      <c r="N162" s="14">
        <f>IF($A162="","",IFERROR(G162/Social!B162,0))</f>
        <v/>
      </c>
    </row>
    <row r="163" ht="22" customHeight="1">
      <c r="A163" s="9" t="n"/>
      <c r="B163" s="10" t="n"/>
      <c r="C163" s="10" t="n"/>
      <c r="D163" s="13">
        <f>IF($A163="","",D163)</f>
        <v/>
      </c>
      <c r="E163" s="10" t="n"/>
      <c r="F163" s="10" t="n"/>
      <c r="G163" s="10" t="n"/>
      <c r="H163" s="11">
        <f>IF($A163="","",IFERROR(B163/C163,0))</f>
        <v/>
      </c>
      <c r="I163" s="11">
        <f>IF($A163="","",IFERROR(B163/C163,0))</f>
        <v/>
      </c>
      <c r="J163" s="11">
        <f>IF($A163="","",IFERROR((C163-B163)/C163,0))</f>
        <v/>
      </c>
      <c r="K163" s="13">
        <f>IF($A163="","",D163)</f>
        <v/>
      </c>
      <c r="L163" s="13">
        <f>IF($A163="","",E163)</f>
        <v/>
      </c>
      <c r="M163" s="12">
        <f>IF($A163="","",F163)</f>
        <v/>
      </c>
      <c r="N163" s="14">
        <f>IF($A163="","",IFERROR(G163/Social!B163,0))</f>
        <v/>
      </c>
    </row>
    <row r="164" ht="22" customHeight="1">
      <c r="A164" s="9" t="n"/>
      <c r="B164" s="10" t="n"/>
      <c r="C164" s="10" t="n"/>
      <c r="D164" s="13">
        <f>IF($A164="","",D164)</f>
        <v/>
      </c>
      <c r="E164" s="10" t="n"/>
      <c r="F164" s="10" t="n"/>
      <c r="G164" s="10" t="n"/>
      <c r="H164" s="11">
        <f>IF($A164="","",IFERROR(B164/C164,0))</f>
        <v/>
      </c>
      <c r="I164" s="11">
        <f>IF($A164="","",IFERROR(B164/C164,0))</f>
        <v/>
      </c>
      <c r="J164" s="11">
        <f>IF($A164="","",IFERROR((C164-B164)/C164,0))</f>
        <v/>
      </c>
      <c r="K164" s="13">
        <f>IF($A164="","",D164)</f>
        <v/>
      </c>
      <c r="L164" s="13">
        <f>IF($A164="","",E164)</f>
        <v/>
      </c>
      <c r="M164" s="12">
        <f>IF($A164="","",F164)</f>
        <v/>
      </c>
      <c r="N164" s="14">
        <f>IF($A164="","",IFERROR(G164/Social!B164,0))</f>
        <v/>
      </c>
    </row>
    <row r="165" ht="22" customHeight="1">
      <c r="A165" s="9" t="n"/>
      <c r="B165" s="10" t="n"/>
      <c r="C165" s="10" t="n"/>
      <c r="D165" s="13">
        <f>IF($A165="","",D165)</f>
        <v/>
      </c>
      <c r="E165" s="10" t="n"/>
      <c r="F165" s="10" t="n"/>
      <c r="G165" s="10" t="n"/>
      <c r="H165" s="11">
        <f>IF($A165="","",IFERROR(B165/C165,0))</f>
        <v/>
      </c>
      <c r="I165" s="11">
        <f>IF($A165="","",IFERROR(B165/C165,0))</f>
        <v/>
      </c>
      <c r="J165" s="11">
        <f>IF($A165="","",IFERROR((C165-B165)/C165,0))</f>
        <v/>
      </c>
      <c r="K165" s="13">
        <f>IF($A165="","",D165)</f>
        <v/>
      </c>
      <c r="L165" s="13">
        <f>IF($A165="","",E165)</f>
        <v/>
      </c>
      <c r="M165" s="12">
        <f>IF($A165="","",F165)</f>
        <v/>
      </c>
      <c r="N165" s="14">
        <f>IF($A165="","",IFERROR(G165/Social!B165,0))</f>
        <v/>
      </c>
    </row>
    <row r="166" ht="22" customHeight="1">
      <c r="A166" s="9" t="n"/>
      <c r="B166" s="10" t="n"/>
      <c r="C166" s="10" t="n"/>
      <c r="D166" s="13">
        <f>IF($A166="","",D166)</f>
        <v/>
      </c>
      <c r="E166" s="10" t="n"/>
      <c r="F166" s="10" t="n"/>
      <c r="G166" s="10" t="n"/>
      <c r="H166" s="11">
        <f>IF($A166="","",IFERROR(B166/C166,0))</f>
        <v/>
      </c>
      <c r="I166" s="11">
        <f>IF($A166="","",IFERROR(B166/C166,0))</f>
        <v/>
      </c>
      <c r="J166" s="11">
        <f>IF($A166="","",IFERROR((C166-B166)/C166,0))</f>
        <v/>
      </c>
      <c r="K166" s="13">
        <f>IF($A166="","",D166)</f>
        <v/>
      </c>
      <c r="L166" s="13">
        <f>IF($A166="","",E166)</f>
        <v/>
      </c>
      <c r="M166" s="12">
        <f>IF($A166="","",F166)</f>
        <v/>
      </c>
      <c r="N166" s="14">
        <f>IF($A166="","",IFERROR(G166/Social!B166,0))</f>
        <v/>
      </c>
    </row>
    <row r="167" ht="22" customHeight="1">
      <c r="A167" s="9" t="n"/>
      <c r="B167" s="10" t="n"/>
      <c r="C167" s="10" t="n"/>
      <c r="D167" s="13">
        <f>IF($A167="","",D167)</f>
        <v/>
      </c>
      <c r="E167" s="10" t="n"/>
      <c r="F167" s="10" t="n"/>
      <c r="G167" s="10" t="n"/>
      <c r="H167" s="11">
        <f>IF($A167="","",IFERROR(B167/C167,0))</f>
        <v/>
      </c>
      <c r="I167" s="11">
        <f>IF($A167="","",IFERROR(B167/C167,0))</f>
        <v/>
      </c>
      <c r="J167" s="11">
        <f>IF($A167="","",IFERROR((C167-B167)/C167,0))</f>
        <v/>
      </c>
      <c r="K167" s="13">
        <f>IF($A167="","",D167)</f>
        <v/>
      </c>
      <c r="L167" s="13">
        <f>IF($A167="","",E167)</f>
        <v/>
      </c>
      <c r="M167" s="12">
        <f>IF($A167="","",F167)</f>
        <v/>
      </c>
      <c r="N167" s="14">
        <f>IF($A167="","",IFERROR(G167/Social!B167,0))</f>
        <v/>
      </c>
    </row>
    <row r="168" ht="22" customHeight="1">
      <c r="A168" s="9" t="n"/>
      <c r="B168" s="10" t="n"/>
      <c r="C168" s="10" t="n"/>
      <c r="D168" s="13">
        <f>IF($A168="","",D168)</f>
        <v/>
      </c>
      <c r="E168" s="10" t="n"/>
      <c r="F168" s="10" t="n"/>
      <c r="G168" s="10" t="n"/>
      <c r="H168" s="11">
        <f>IF($A168="","",IFERROR(B168/C168,0))</f>
        <v/>
      </c>
      <c r="I168" s="11">
        <f>IF($A168="","",IFERROR(B168/C168,0))</f>
        <v/>
      </c>
      <c r="J168" s="11">
        <f>IF($A168="","",IFERROR((C168-B168)/C168,0))</f>
        <v/>
      </c>
      <c r="K168" s="13">
        <f>IF($A168="","",D168)</f>
        <v/>
      </c>
      <c r="L168" s="13">
        <f>IF($A168="","",E168)</f>
        <v/>
      </c>
      <c r="M168" s="12">
        <f>IF($A168="","",F168)</f>
        <v/>
      </c>
      <c r="N168" s="14">
        <f>IF($A168="","",IFERROR(G168/Social!B168,0))</f>
        <v/>
      </c>
    </row>
    <row r="169" ht="22" customHeight="1">
      <c r="A169" s="9" t="n"/>
      <c r="B169" s="10" t="n"/>
      <c r="C169" s="10" t="n"/>
      <c r="D169" s="13">
        <f>IF($A169="","",D169)</f>
        <v/>
      </c>
      <c r="E169" s="10" t="n"/>
      <c r="F169" s="10" t="n"/>
      <c r="G169" s="10" t="n"/>
      <c r="H169" s="11">
        <f>IF($A169="","",IFERROR(B169/C169,0))</f>
        <v/>
      </c>
      <c r="I169" s="11">
        <f>IF($A169="","",IFERROR(B169/C169,0))</f>
        <v/>
      </c>
      <c r="J169" s="11">
        <f>IF($A169="","",IFERROR((C169-B169)/C169,0))</f>
        <v/>
      </c>
      <c r="K169" s="13">
        <f>IF($A169="","",D169)</f>
        <v/>
      </c>
      <c r="L169" s="13">
        <f>IF($A169="","",E169)</f>
        <v/>
      </c>
      <c r="M169" s="12">
        <f>IF($A169="","",F169)</f>
        <v/>
      </c>
      <c r="N169" s="14">
        <f>IF($A169="","",IFERROR(G169/Social!B169,0))</f>
        <v/>
      </c>
    </row>
    <row r="170" ht="22" customHeight="1">
      <c r="A170" s="9" t="n"/>
      <c r="B170" s="10" t="n"/>
      <c r="C170" s="10" t="n"/>
      <c r="D170" s="13">
        <f>IF($A170="","",D170)</f>
        <v/>
      </c>
      <c r="E170" s="10" t="n"/>
      <c r="F170" s="10" t="n"/>
      <c r="G170" s="10" t="n"/>
      <c r="H170" s="11">
        <f>IF($A170="","",IFERROR(B170/C170,0))</f>
        <v/>
      </c>
      <c r="I170" s="11">
        <f>IF($A170="","",IFERROR(B170/C170,0))</f>
        <v/>
      </c>
      <c r="J170" s="11">
        <f>IF($A170="","",IFERROR((C170-B170)/C170,0))</f>
        <v/>
      </c>
      <c r="K170" s="13">
        <f>IF($A170="","",D170)</f>
        <v/>
      </c>
      <c r="L170" s="13">
        <f>IF($A170="","",E170)</f>
        <v/>
      </c>
      <c r="M170" s="12">
        <f>IF($A170="","",F170)</f>
        <v/>
      </c>
      <c r="N170" s="14">
        <f>IF($A170="","",IFERROR(G170/Social!B170,0))</f>
        <v/>
      </c>
    </row>
    <row r="171" ht="22" customHeight="1">
      <c r="A171" s="9" t="n"/>
      <c r="B171" s="10" t="n"/>
      <c r="C171" s="10" t="n"/>
      <c r="D171" s="13">
        <f>IF($A171="","",D171)</f>
        <v/>
      </c>
      <c r="E171" s="10" t="n"/>
      <c r="F171" s="10" t="n"/>
      <c r="G171" s="10" t="n"/>
      <c r="H171" s="11">
        <f>IF($A171="","",IFERROR(B171/C171,0))</f>
        <v/>
      </c>
      <c r="I171" s="11">
        <f>IF($A171="","",IFERROR(B171/C171,0))</f>
        <v/>
      </c>
      <c r="J171" s="11">
        <f>IF($A171="","",IFERROR((C171-B171)/C171,0))</f>
        <v/>
      </c>
      <c r="K171" s="13">
        <f>IF($A171="","",D171)</f>
        <v/>
      </c>
      <c r="L171" s="13">
        <f>IF($A171="","",E171)</f>
        <v/>
      </c>
      <c r="M171" s="12">
        <f>IF($A171="","",F171)</f>
        <v/>
      </c>
      <c r="N171" s="14">
        <f>IF($A171="","",IFERROR(G171/Social!B171,0))</f>
        <v/>
      </c>
    </row>
    <row r="172" ht="22" customHeight="1">
      <c r="A172" s="9" t="n"/>
      <c r="B172" s="10" t="n"/>
      <c r="C172" s="10" t="n"/>
      <c r="D172" s="13">
        <f>IF($A172="","",D172)</f>
        <v/>
      </c>
      <c r="E172" s="10" t="n"/>
      <c r="F172" s="10" t="n"/>
      <c r="G172" s="10" t="n"/>
      <c r="H172" s="11">
        <f>IF($A172="","",IFERROR(B172/C172,0))</f>
        <v/>
      </c>
      <c r="I172" s="11">
        <f>IF($A172="","",IFERROR(B172/C172,0))</f>
        <v/>
      </c>
      <c r="J172" s="11">
        <f>IF($A172="","",IFERROR((C172-B172)/C172,0))</f>
        <v/>
      </c>
      <c r="K172" s="13">
        <f>IF($A172="","",D172)</f>
        <v/>
      </c>
      <c r="L172" s="13">
        <f>IF($A172="","",E172)</f>
        <v/>
      </c>
      <c r="M172" s="12">
        <f>IF($A172="","",F172)</f>
        <v/>
      </c>
      <c r="N172" s="14">
        <f>IF($A172="","",IFERROR(G172/Social!B172,0))</f>
        <v/>
      </c>
    </row>
    <row r="173" ht="22" customHeight="1">
      <c r="A173" s="9" t="n"/>
      <c r="B173" s="10" t="n"/>
      <c r="C173" s="10" t="n"/>
      <c r="D173" s="13">
        <f>IF($A173="","",D173)</f>
        <v/>
      </c>
      <c r="E173" s="10" t="n"/>
      <c r="F173" s="10" t="n"/>
      <c r="G173" s="10" t="n"/>
      <c r="H173" s="11">
        <f>IF($A173="","",IFERROR(B173/C173,0))</f>
        <v/>
      </c>
      <c r="I173" s="11">
        <f>IF($A173="","",IFERROR(B173/C173,0))</f>
        <v/>
      </c>
      <c r="J173" s="11">
        <f>IF($A173="","",IFERROR((C173-B173)/C173,0))</f>
        <v/>
      </c>
      <c r="K173" s="13">
        <f>IF($A173="","",D173)</f>
        <v/>
      </c>
      <c r="L173" s="13">
        <f>IF($A173="","",E173)</f>
        <v/>
      </c>
      <c r="M173" s="12">
        <f>IF($A173="","",F173)</f>
        <v/>
      </c>
      <c r="N173" s="14">
        <f>IF($A173="","",IFERROR(G173/Social!B173,0))</f>
        <v/>
      </c>
    </row>
    <row r="174" ht="22" customHeight="1">
      <c r="A174" s="9" t="n"/>
      <c r="B174" s="10" t="n"/>
      <c r="C174" s="10" t="n"/>
      <c r="D174" s="13">
        <f>IF($A174="","",D174)</f>
        <v/>
      </c>
      <c r="E174" s="10" t="n"/>
      <c r="F174" s="10" t="n"/>
      <c r="G174" s="10" t="n"/>
      <c r="H174" s="11">
        <f>IF($A174="","",IFERROR(B174/C174,0))</f>
        <v/>
      </c>
      <c r="I174" s="11">
        <f>IF($A174="","",IFERROR(B174/C174,0))</f>
        <v/>
      </c>
      <c r="J174" s="11">
        <f>IF($A174="","",IFERROR((C174-B174)/C174,0))</f>
        <v/>
      </c>
      <c r="K174" s="13">
        <f>IF($A174="","",D174)</f>
        <v/>
      </c>
      <c r="L174" s="13">
        <f>IF($A174="","",E174)</f>
        <v/>
      </c>
      <c r="M174" s="12">
        <f>IF($A174="","",F174)</f>
        <v/>
      </c>
      <c r="N174" s="14">
        <f>IF($A174="","",IFERROR(G174/Social!B174,0))</f>
        <v/>
      </c>
    </row>
    <row r="175" ht="22" customHeight="1">
      <c r="A175" s="9" t="n"/>
      <c r="B175" s="10" t="n"/>
      <c r="C175" s="10" t="n"/>
      <c r="D175" s="13">
        <f>IF($A175="","",D175)</f>
        <v/>
      </c>
      <c r="E175" s="10" t="n"/>
      <c r="F175" s="10" t="n"/>
      <c r="G175" s="10" t="n"/>
      <c r="H175" s="11">
        <f>IF($A175="","",IFERROR(B175/C175,0))</f>
        <v/>
      </c>
      <c r="I175" s="11">
        <f>IF($A175="","",IFERROR(B175/C175,0))</f>
        <v/>
      </c>
      <c r="J175" s="11">
        <f>IF($A175="","",IFERROR((C175-B175)/C175,0))</f>
        <v/>
      </c>
      <c r="K175" s="13">
        <f>IF($A175="","",D175)</f>
        <v/>
      </c>
      <c r="L175" s="13">
        <f>IF($A175="","",E175)</f>
        <v/>
      </c>
      <c r="M175" s="12">
        <f>IF($A175="","",F175)</f>
        <v/>
      </c>
      <c r="N175" s="14">
        <f>IF($A175="","",IFERROR(G175/Social!B175,0))</f>
        <v/>
      </c>
    </row>
    <row r="176" ht="22" customHeight="1">
      <c r="A176" s="9" t="n"/>
      <c r="B176" s="10" t="n"/>
      <c r="C176" s="10" t="n"/>
      <c r="D176" s="13">
        <f>IF($A176="","",D176)</f>
        <v/>
      </c>
      <c r="E176" s="10" t="n"/>
      <c r="F176" s="10" t="n"/>
      <c r="G176" s="10" t="n"/>
      <c r="H176" s="11">
        <f>IF($A176="","",IFERROR(B176/C176,0))</f>
        <v/>
      </c>
      <c r="I176" s="11">
        <f>IF($A176="","",IFERROR(B176/C176,0))</f>
        <v/>
      </c>
      <c r="J176" s="11">
        <f>IF($A176="","",IFERROR((C176-B176)/C176,0))</f>
        <v/>
      </c>
      <c r="K176" s="13">
        <f>IF($A176="","",D176)</f>
        <v/>
      </c>
      <c r="L176" s="13">
        <f>IF($A176="","",E176)</f>
        <v/>
      </c>
      <c r="M176" s="12">
        <f>IF($A176="","",F176)</f>
        <v/>
      </c>
      <c r="N176" s="14">
        <f>IF($A176="","",IFERROR(G176/Social!B176,0))</f>
        <v/>
      </c>
    </row>
    <row r="177" ht="22" customHeight="1">
      <c r="A177" s="9" t="n"/>
      <c r="B177" s="10" t="n"/>
      <c r="C177" s="10" t="n"/>
      <c r="D177" s="13">
        <f>IF($A177="","",D177)</f>
        <v/>
      </c>
      <c r="E177" s="10" t="n"/>
      <c r="F177" s="10" t="n"/>
      <c r="G177" s="10" t="n"/>
      <c r="H177" s="11">
        <f>IF($A177="","",IFERROR(B177/C177,0))</f>
        <v/>
      </c>
      <c r="I177" s="11">
        <f>IF($A177="","",IFERROR(B177/C177,0))</f>
        <v/>
      </c>
      <c r="J177" s="11">
        <f>IF($A177="","",IFERROR((C177-B177)/C177,0))</f>
        <v/>
      </c>
      <c r="K177" s="13">
        <f>IF($A177="","",D177)</f>
        <v/>
      </c>
      <c r="L177" s="13">
        <f>IF($A177="","",E177)</f>
        <v/>
      </c>
      <c r="M177" s="12">
        <f>IF($A177="","",F177)</f>
        <v/>
      </c>
      <c r="N177" s="14">
        <f>IF($A177="","",IFERROR(G177/Social!B177,0))</f>
        <v/>
      </c>
    </row>
    <row r="178" ht="22" customHeight="1">
      <c r="A178" s="9" t="n"/>
      <c r="B178" s="10" t="n"/>
      <c r="C178" s="10" t="n"/>
      <c r="D178" s="13">
        <f>IF($A178="","",D178)</f>
        <v/>
      </c>
      <c r="E178" s="10" t="n"/>
      <c r="F178" s="10" t="n"/>
      <c r="G178" s="10" t="n"/>
      <c r="H178" s="11">
        <f>IF($A178="","",IFERROR(B178/C178,0))</f>
        <v/>
      </c>
      <c r="I178" s="11">
        <f>IF($A178="","",IFERROR(B178/C178,0))</f>
        <v/>
      </c>
      <c r="J178" s="11">
        <f>IF($A178="","",IFERROR((C178-B178)/C178,0))</f>
        <v/>
      </c>
      <c r="K178" s="13">
        <f>IF($A178="","",D178)</f>
        <v/>
      </c>
      <c r="L178" s="13">
        <f>IF($A178="","",E178)</f>
        <v/>
      </c>
      <c r="M178" s="12">
        <f>IF($A178="","",F178)</f>
        <v/>
      </c>
      <c r="N178" s="14">
        <f>IF($A178="","",IFERROR(G178/Social!B178,0))</f>
        <v/>
      </c>
    </row>
    <row r="179" ht="22" customHeight="1">
      <c r="A179" s="9" t="n"/>
      <c r="B179" s="10" t="n"/>
      <c r="C179" s="10" t="n"/>
      <c r="D179" s="13">
        <f>IF($A179="","",D179)</f>
        <v/>
      </c>
      <c r="E179" s="10" t="n"/>
      <c r="F179" s="10" t="n"/>
      <c r="G179" s="10" t="n"/>
      <c r="H179" s="11">
        <f>IF($A179="","",IFERROR(B179/C179,0))</f>
        <v/>
      </c>
      <c r="I179" s="11">
        <f>IF($A179="","",IFERROR(B179/C179,0))</f>
        <v/>
      </c>
      <c r="J179" s="11">
        <f>IF($A179="","",IFERROR((C179-B179)/C179,0))</f>
        <v/>
      </c>
      <c r="K179" s="13">
        <f>IF($A179="","",D179)</f>
        <v/>
      </c>
      <c r="L179" s="13">
        <f>IF($A179="","",E179)</f>
        <v/>
      </c>
      <c r="M179" s="12">
        <f>IF($A179="","",F179)</f>
        <v/>
      </c>
      <c r="N179" s="14">
        <f>IF($A179="","",IFERROR(G179/Social!B179,0))</f>
        <v/>
      </c>
    </row>
    <row r="180" ht="22" customHeight="1">
      <c r="A180" s="9" t="n"/>
      <c r="B180" s="10" t="n"/>
      <c r="C180" s="10" t="n"/>
      <c r="D180" s="13">
        <f>IF($A180="","",D180)</f>
        <v/>
      </c>
      <c r="E180" s="10" t="n"/>
      <c r="F180" s="10" t="n"/>
      <c r="G180" s="10" t="n"/>
      <c r="H180" s="11">
        <f>IF($A180="","",IFERROR(B180/C180,0))</f>
        <v/>
      </c>
      <c r="I180" s="11">
        <f>IF($A180="","",IFERROR(B180/C180,0))</f>
        <v/>
      </c>
      <c r="J180" s="11">
        <f>IF($A180="","",IFERROR((C180-B180)/C180,0))</f>
        <v/>
      </c>
      <c r="K180" s="13">
        <f>IF($A180="","",D180)</f>
        <v/>
      </c>
      <c r="L180" s="13">
        <f>IF($A180="","",E180)</f>
        <v/>
      </c>
      <c r="M180" s="12">
        <f>IF($A180="","",F180)</f>
        <v/>
      </c>
      <c r="N180" s="14">
        <f>IF($A180="","",IFERROR(G180/Social!B180,0))</f>
        <v/>
      </c>
    </row>
    <row r="181" ht="22" customHeight="1">
      <c r="A181" s="9" t="n"/>
      <c r="B181" s="10" t="n"/>
      <c r="C181" s="10" t="n"/>
      <c r="D181" s="13">
        <f>IF($A181="","",D181)</f>
        <v/>
      </c>
      <c r="E181" s="10" t="n"/>
      <c r="F181" s="10" t="n"/>
      <c r="G181" s="10" t="n"/>
      <c r="H181" s="11">
        <f>IF($A181="","",IFERROR(B181/C181,0))</f>
        <v/>
      </c>
      <c r="I181" s="11">
        <f>IF($A181="","",IFERROR(B181/C181,0))</f>
        <v/>
      </c>
      <c r="J181" s="11">
        <f>IF($A181="","",IFERROR((C181-B181)/C181,0))</f>
        <v/>
      </c>
      <c r="K181" s="13">
        <f>IF($A181="","",D181)</f>
        <v/>
      </c>
      <c r="L181" s="13">
        <f>IF($A181="","",E181)</f>
        <v/>
      </c>
      <c r="M181" s="12">
        <f>IF($A181="","",F181)</f>
        <v/>
      </c>
      <c r="N181" s="14">
        <f>IF($A181="","",IFERROR(G181/Social!B181,0))</f>
        <v/>
      </c>
    </row>
    <row r="182" ht="22" customHeight="1">
      <c r="A182" s="9" t="n"/>
      <c r="B182" s="10" t="n"/>
      <c r="C182" s="10" t="n"/>
      <c r="D182" s="13">
        <f>IF($A182="","",D182)</f>
        <v/>
      </c>
      <c r="E182" s="10" t="n"/>
      <c r="F182" s="10" t="n"/>
      <c r="G182" s="10" t="n"/>
      <c r="H182" s="11">
        <f>IF($A182="","",IFERROR(B182/C182,0))</f>
        <v/>
      </c>
      <c r="I182" s="11">
        <f>IF($A182="","",IFERROR(B182/C182,0))</f>
        <v/>
      </c>
      <c r="J182" s="11">
        <f>IF($A182="","",IFERROR((C182-B182)/C182,0))</f>
        <v/>
      </c>
      <c r="K182" s="13">
        <f>IF($A182="","",D182)</f>
        <v/>
      </c>
      <c r="L182" s="13">
        <f>IF($A182="","",E182)</f>
        <v/>
      </c>
      <c r="M182" s="12">
        <f>IF($A182="","",F182)</f>
        <v/>
      </c>
      <c r="N182" s="14">
        <f>IF($A182="","",IFERROR(G182/Social!B182,0))</f>
        <v/>
      </c>
    </row>
    <row r="183" ht="22" customHeight="1">
      <c r="A183" s="9" t="n"/>
      <c r="B183" s="10" t="n"/>
      <c r="C183" s="10" t="n"/>
      <c r="D183" s="13">
        <f>IF($A183="","",D183)</f>
        <v/>
      </c>
      <c r="E183" s="10" t="n"/>
      <c r="F183" s="10" t="n"/>
      <c r="G183" s="10" t="n"/>
      <c r="H183" s="11">
        <f>IF($A183="","",IFERROR(B183/C183,0))</f>
        <v/>
      </c>
      <c r="I183" s="11">
        <f>IF($A183="","",IFERROR(B183/C183,0))</f>
        <v/>
      </c>
      <c r="J183" s="11">
        <f>IF($A183="","",IFERROR((C183-B183)/C183,0))</f>
        <v/>
      </c>
      <c r="K183" s="13">
        <f>IF($A183="","",D183)</f>
        <v/>
      </c>
      <c r="L183" s="13">
        <f>IF($A183="","",E183)</f>
        <v/>
      </c>
      <c r="M183" s="12">
        <f>IF($A183="","",F183)</f>
        <v/>
      </c>
      <c r="N183" s="14">
        <f>IF($A183="","",IFERROR(G183/Social!B183,0))</f>
        <v/>
      </c>
    </row>
    <row r="184" ht="22" customHeight="1">
      <c r="A184" s="9" t="n"/>
      <c r="B184" s="10" t="n"/>
      <c r="C184" s="10" t="n"/>
      <c r="D184" s="13">
        <f>IF($A184="","",D184)</f>
        <v/>
      </c>
      <c r="E184" s="10" t="n"/>
      <c r="F184" s="10" t="n"/>
      <c r="G184" s="10" t="n"/>
      <c r="H184" s="11">
        <f>IF($A184="","",IFERROR(B184/C184,0))</f>
        <v/>
      </c>
      <c r="I184" s="11">
        <f>IF($A184="","",IFERROR(B184/C184,0))</f>
        <v/>
      </c>
      <c r="J184" s="11">
        <f>IF($A184="","",IFERROR((C184-B184)/C184,0))</f>
        <v/>
      </c>
      <c r="K184" s="13">
        <f>IF($A184="","",D184)</f>
        <v/>
      </c>
      <c r="L184" s="13">
        <f>IF($A184="","",E184)</f>
        <v/>
      </c>
      <c r="M184" s="12">
        <f>IF($A184="","",F184)</f>
        <v/>
      </c>
      <c r="N184" s="14">
        <f>IF($A184="","",IFERROR(G184/Social!B184,0))</f>
        <v/>
      </c>
    </row>
    <row r="185" ht="22" customHeight="1">
      <c r="A185" s="9" t="n"/>
      <c r="B185" s="10" t="n"/>
      <c r="C185" s="10" t="n"/>
      <c r="D185" s="13">
        <f>IF($A185="","",D185)</f>
        <v/>
      </c>
      <c r="E185" s="10" t="n"/>
      <c r="F185" s="10" t="n"/>
      <c r="G185" s="10" t="n"/>
      <c r="H185" s="11">
        <f>IF($A185="","",IFERROR(B185/C185,0))</f>
        <v/>
      </c>
      <c r="I185" s="11">
        <f>IF($A185="","",IFERROR(B185/C185,0))</f>
        <v/>
      </c>
      <c r="J185" s="11">
        <f>IF($A185="","",IFERROR((C185-B185)/C185,0))</f>
        <v/>
      </c>
      <c r="K185" s="13">
        <f>IF($A185="","",D185)</f>
        <v/>
      </c>
      <c r="L185" s="13">
        <f>IF($A185="","",E185)</f>
        <v/>
      </c>
      <c r="M185" s="12">
        <f>IF($A185="","",F185)</f>
        <v/>
      </c>
      <c r="N185" s="14">
        <f>IF($A185="","",IFERROR(G185/Social!B185,0))</f>
        <v/>
      </c>
    </row>
    <row r="186" ht="22" customHeight="1">
      <c r="A186" s="9" t="n"/>
      <c r="B186" s="10" t="n"/>
      <c r="C186" s="10" t="n"/>
      <c r="D186" s="13">
        <f>IF($A186="","",D186)</f>
        <v/>
      </c>
      <c r="E186" s="10" t="n"/>
      <c r="F186" s="10" t="n"/>
      <c r="G186" s="10" t="n"/>
      <c r="H186" s="11">
        <f>IF($A186="","",IFERROR(B186/C186,0))</f>
        <v/>
      </c>
      <c r="I186" s="11">
        <f>IF($A186="","",IFERROR(B186/C186,0))</f>
        <v/>
      </c>
      <c r="J186" s="11">
        <f>IF($A186="","",IFERROR((C186-B186)/C186,0))</f>
        <v/>
      </c>
      <c r="K186" s="13">
        <f>IF($A186="","",D186)</f>
        <v/>
      </c>
      <c r="L186" s="13">
        <f>IF($A186="","",E186)</f>
        <v/>
      </c>
      <c r="M186" s="12">
        <f>IF($A186="","",F186)</f>
        <v/>
      </c>
      <c r="N186" s="14">
        <f>IF($A186="","",IFERROR(G186/Social!B186,0))</f>
        <v/>
      </c>
    </row>
    <row r="187" ht="22" customHeight="1">
      <c r="A187" s="9" t="n"/>
      <c r="B187" s="10" t="n"/>
      <c r="C187" s="10" t="n"/>
      <c r="D187" s="13">
        <f>IF($A187="","",D187)</f>
        <v/>
      </c>
      <c r="E187" s="10" t="n"/>
      <c r="F187" s="10" t="n"/>
      <c r="G187" s="10" t="n"/>
      <c r="H187" s="11">
        <f>IF($A187="","",IFERROR(B187/C187,0))</f>
        <v/>
      </c>
      <c r="I187" s="11">
        <f>IF($A187="","",IFERROR(B187/C187,0))</f>
        <v/>
      </c>
      <c r="J187" s="11">
        <f>IF($A187="","",IFERROR((C187-B187)/C187,0))</f>
        <v/>
      </c>
      <c r="K187" s="13">
        <f>IF($A187="","",D187)</f>
        <v/>
      </c>
      <c r="L187" s="13">
        <f>IF($A187="","",E187)</f>
        <v/>
      </c>
      <c r="M187" s="12">
        <f>IF($A187="","",F187)</f>
        <v/>
      </c>
      <c r="N187" s="14">
        <f>IF($A187="","",IFERROR(G187/Social!B187,0))</f>
        <v/>
      </c>
    </row>
    <row r="188" ht="22" customHeight="1">
      <c r="A188" s="9" t="n"/>
      <c r="B188" s="10" t="n"/>
      <c r="C188" s="10" t="n"/>
      <c r="D188" s="13">
        <f>IF($A188="","",D188)</f>
        <v/>
      </c>
      <c r="E188" s="10" t="n"/>
      <c r="F188" s="10" t="n"/>
      <c r="G188" s="10" t="n"/>
      <c r="H188" s="11">
        <f>IF($A188="","",IFERROR(B188/C188,0))</f>
        <v/>
      </c>
      <c r="I188" s="11">
        <f>IF($A188="","",IFERROR(B188/C188,0))</f>
        <v/>
      </c>
      <c r="J188" s="11">
        <f>IF($A188="","",IFERROR((C188-B188)/C188,0))</f>
        <v/>
      </c>
      <c r="K188" s="13">
        <f>IF($A188="","",D188)</f>
        <v/>
      </c>
      <c r="L188" s="13">
        <f>IF($A188="","",E188)</f>
        <v/>
      </c>
      <c r="M188" s="12">
        <f>IF($A188="","",F188)</f>
        <v/>
      </c>
      <c r="N188" s="14">
        <f>IF($A188="","",IFERROR(G188/Social!B188,0))</f>
        <v/>
      </c>
    </row>
    <row r="189" ht="22" customHeight="1">
      <c r="A189" s="9" t="n"/>
      <c r="B189" s="10" t="n"/>
      <c r="C189" s="10" t="n"/>
      <c r="D189" s="13">
        <f>IF($A189="","",D189)</f>
        <v/>
      </c>
      <c r="E189" s="10" t="n"/>
      <c r="F189" s="10" t="n"/>
      <c r="G189" s="10" t="n"/>
      <c r="H189" s="11">
        <f>IF($A189="","",IFERROR(B189/C189,0))</f>
        <v/>
      </c>
      <c r="I189" s="11">
        <f>IF($A189="","",IFERROR(B189/C189,0))</f>
        <v/>
      </c>
      <c r="J189" s="11">
        <f>IF($A189="","",IFERROR((C189-B189)/C189,0))</f>
        <v/>
      </c>
      <c r="K189" s="13">
        <f>IF($A189="","",D189)</f>
        <v/>
      </c>
      <c r="L189" s="13">
        <f>IF($A189="","",E189)</f>
        <v/>
      </c>
      <c r="M189" s="12">
        <f>IF($A189="","",F189)</f>
        <v/>
      </c>
      <c r="N189" s="14">
        <f>IF($A189="","",IFERROR(G189/Social!B189,0))</f>
        <v/>
      </c>
    </row>
    <row r="190" ht="22" customHeight="1">
      <c r="A190" s="9" t="n"/>
      <c r="B190" s="10" t="n"/>
      <c r="C190" s="10" t="n"/>
      <c r="D190" s="13">
        <f>IF($A190="","",D190)</f>
        <v/>
      </c>
      <c r="E190" s="10" t="n"/>
      <c r="F190" s="10" t="n"/>
      <c r="G190" s="10" t="n"/>
      <c r="H190" s="11">
        <f>IF($A190="","",IFERROR(B190/C190,0))</f>
        <v/>
      </c>
      <c r="I190" s="11">
        <f>IF($A190="","",IFERROR(B190/C190,0))</f>
        <v/>
      </c>
      <c r="J190" s="11">
        <f>IF($A190="","",IFERROR((C190-B190)/C190,0))</f>
        <v/>
      </c>
      <c r="K190" s="13">
        <f>IF($A190="","",D190)</f>
        <v/>
      </c>
      <c r="L190" s="13">
        <f>IF($A190="","",E190)</f>
        <v/>
      </c>
      <c r="M190" s="12">
        <f>IF($A190="","",F190)</f>
        <v/>
      </c>
      <c r="N190" s="14">
        <f>IF($A190="","",IFERROR(G190/Social!B190,0))</f>
        <v/>
      </c>
    </row>
    <row r="191" ht="22" customHeight="1">
      <c r="A191" s="9" t="n"/>
      <c r="B191" s="10" t="n"/>
      <c r="C191" s="10" t="n"/>
      <c r="D191" s="13">
        <f>IF($A191="","",D191)</f>
        <v/>
      </c>
      <c r="E191" s="10" t="n"/>
      <c r="F191" s="10" t="n"/>
      <c r="G191" s="10" t="n"/>
      <c r="H191" s="11">
        <f>IF($A191="","",IFERROR(B191/C191,0))</f>
        <v/>
      </c>
      <c r="I191" s="11">
        <f>IF($A191="","",IFERROR(B191/C191,0))</f>
        <v/>
      </c>
      <c r="J191" s="11">
        <f>IF($A191="","",IFERROR((C191-B191)/C191,0))</f>
        <v/>
      </c>
      <c r="K191" s="13">
        <f>IF($A191="","",D191)</f>
        <v/>
      </c>
      <c r="L191" s="13">
        <f>IF($A191="","",E191)</f>
        <v/>
      </c>
      <c r="M191" s="12">
        <f>IF($A191="","",F191)</f>
        <v/>
      </c>
      <c r="N191" s="14">
        <f>IF($A191="","",IFERROR(G191/Social!B191,0))</f>
        <v/>
      </c>
    </row>
    <row r="192" ht="22" customHeight="1">
      <c r="A192" s="9" t="n"/>
      <c r="B192" s="10" t="n"/>
      <c r="C192" s="10" t="n"/>
      <c r="D192" s="13">
        <f>IF($A192="","",D192)</f>
        <v/>
      </c>
      <c r="E192" s="10" t="n"/>
      <c r="F192" s="10" t="n"/>
      <c r="G192" s="10" t="n"/>
      <c r="H192" s="11">
        <f>IF($A192="","",IFERROR(B192/C192,0))</f>
        <v/>
      </c>
      <c r="I192" s="11">
        <f>IF($A192="","",IFERROR(B192/C192,0))</f>
        <v/>
      </c>
      <c r="J192" s="11">
        <f>IF($A192="","",IFERROR((C192-B192)/C192,0))</f>
        <v/>
      </c>
      <c r="K192" s="13">
        <f>IF($A192="","",D192)</f>
        <v/>
      </c>
      <c r="L192" s="13">
        <f>IF($A192="","",E192)</f>
        <v/>
      </c>
      <c r="M192" s="12">
        <f>IF($A192="","",F192)</f>
        <v/>
      </c>
      <c r="N192" s="14">
        <f>IF($A192="","",IFERROR(G192/Social!B192,0))</f>
        <v/>
      </c>
    </row>
    <row r="193" ht="22" customHeight="1">
      <c r="A193" s="9" t="n"/>
      <c r="B193" s="10" t="n"/>
      <c r="C193" s="10" t="n"/>
      <c r="D193" s="13">
        <f>IF($A193="","",D193)</f>
        <v/>
      </c>
      <c r="E193" s="10" t="n"/>
      <c r="F193" s="10" t="n"/>
      <c r="G193" s="10" t="n"/>
      <c r="H193" s="11">
        <f>IF($A193="","",IFERROR(B193/C193,0))</f>
        <v/>
      </c>
      <c r="I193" s="11">
        <f>IF($A193="","",IFERROR(B193/C193,0))</f>
        <v/>
      </c>
      <c r="J193" s="11">
        <f>IF($A193="","",IFERROR((C193-B193)/C193,0))</f>
        <v/>
      </c>
      <c r="K193" s="13">
        <f>IF($A193="","",D193)</f>
        <v/>
      </c>
      <c r="L193" s="13">
        <f>IF($A193="","",E193)</f>
        <v/>
      </c>
      <c r="M193" s="12">
        <f>IF($A193="","",F193)</f>
        <v/>
      </c>
      <c r="N193" s="14">
        <f>IF($A193="","",IFERROR(G193/Social!B193,0))</f>
        <v/>
      </c>
    </row>
    <row r="194" ht="22" customHeight="1">
      <c r="A194" s="9" t="n"/>
      <c r="B194" s="10" t="n"/>
      <c r="C194" s="10" t="n"/>
      <c r="D194" s="13">
        <f>IF($A194="","",D194)</f>
        <v/>
      </c>
      <c r="E194" s="10" t="n"/>
      <c r="F194" s="10" t="n"/>
      <c r="G194" s="10" t="n"/>
      <c r="H194" s="11">
        <f>IF($A194="","",IFERROR(B194/C194,0))</f>
        <v/>
      </c>
      <c r="I194" s="11">
        <f>IF($A194="","",IFERROR(B194/C194,0))</f>
        <v/>
      </c>
      <c r="J194" s="11">
        <f>IF($A194="","",IFERROR((C194-B194)/C194,0))</f>
        <v/>
      </c>
      <c r="K194" s="13">
        <f>IF($A194="","",D194)</f>
        <v/>
      </c>
      <c r="L194" s="13">
        <f>IF($A194="","",E194)</f>
        <v/>
      </c>
      <c r="M194" s="12">
        <f>IF($A194="","",F194)</f>
        <v/>
      </c>
      <c r="N194" s="14">
        <f>IF($A194="","",IFERROR(G194/Social!B194,0))</f>
        <v/>
      </c>
    </row>
    <row r="195" ht="22" customHeight="1">
      <c r="A195" s="9" t="n"/>
      <c r="B195" s="10" t="n"/>
      <c r="C195" s="10" t="n"/>
      <c r="D195" s="13">
        <f>IF($A195="","",D195)</f>
        <v/>
      </c>
      <c r="E195" s="10" t="n"/>
      <c r="F195" s="10" t="n"/>
      <c r="G195" s="10" t="n"/>
      <c r="H195" s="11">
        <f>IF($A195="","",IFERROR(B195/C195,0))</f>
        <v/>
      </c>
      <c r="I195" s="11">
        <f>IF($A195="","",IFERROR(B195/C195,0))</f>
        <v/>
      </c>
      <c r="J195" s="11">
        <f>IF($A195="","",IFERROR((C195-B195)/C195,0))</f>
        <v/>
      </c>
      <c r="K195" s="13">
        <f>IF($A195="","",D195)</f>
        <v/>
      </c>
      <c r="L195" s="13">
        <f>IF($A195="","",E195)</f>
        <v/>
      </c>
      <c r="M195" s="12">
        <f>IF($A195="","",F195)</f>
        <v/>
      </c>
      <c r="N195" s="14">
        <f>IF($A195="","",IFERROR(G195/Social!B195,0))</f>
        <v/>
      </c>
    </row>
    <row r="196" ht="22" customHeight="1">
      <c r="A196" s="9" t="n"/>
      <c r="B196" s="10" t="n"/>
      <c r="C196" s="10" t="n"/>
      <c r="D196" s="13">
        <f>IF($A196="","",D196)</f>
        <v/>
      </c>
      <c r="E196" s="10" t="n"/>
      <c r="F196" s="10" t="n"/>
      <c r="G196" s="10" t="n"/>
      <c r="H196" s="11">
        <f>IF($A196="","",IFERROR(B196/C196,0))</f>
        <v/>
      </c>
      <c r="I196" s="11">
        <f>IF($A196="","",IFERROR(B196/C196,0))</f>
        <v/>
      </c>
      <c r="J196" s="11">
        <f>IF($A196="","",IFERROR((C196-B196)/C196,0))</f>
        <v/>
      </c>
      <c r="K196" s="13">
        <f>IF($A196="","",D196)</f>
        <v/>
      </c>
      <c r="L196" s="13">
        <f>IF($A196="","",E196)</f>
        <v/>
      </c>
      <c r="M196" s="12">
        <f>IF($A196="","",F196)</f>
        <v/>
      </c>
      <c r="N196" s="14">
        <f>IF($A196="","",IFERROR(G196/Social!B196,0))</f>
        <v/>
      </c>
    </row>
    <row r="197" ht="22" customHeight="1">
      <c r="A197" s="9" t="n"/>
      <c r="B197" s="10" t="n"/>
      <c r="C197" s="10" t="n"/>
      <c r="D197" s="13">
        <f>IF($A197="","",D197)</f>
        <v/>
      </c>
      <c r="E197" s="10" t="n"/>
      <c r="F197" s="10" t="n"/>
      <c r="G197" s="10" t="n"/>
      <c r="H197" s="11">
        <f>IF($A197="","",IFERROR(B197/C197,0))</f>
        <v/>
      </c>
      <c r="I197" s="11">
        <f>IF($A197="","",IFERROR(B197/C197,0))</f>
        <v/>
      </c>
      <c r="J197" s="11">
        <f>IF($A197="","",IFERROR((C197-B197)/C197,0))</f>
        <v/>
      </c>
      <c r="K197" s="13">
        <f>IF($A197="","",D197)</f>
        <v/>
      </c>
      <c r="L197" s="13">
        <f>IF($A197="","",E197)</f>
        <v/>
      </c>
      <c r="M197" s="12">
        <f>IF($A197="","",F197)</f>
        <v/>
      </c>
      <c r="N197" s="14">
        <f>IF($A197="","",IFERROR(G197/Social!B197,0))</f>
        <v/>
      </c>
    </row>
    <row r="198" ht="22" customHeight="1">
      <c r="A198" s="9" t="n"/>
      <c r="B198" s="10" t="n"/>
      <c r="C198" s="10" t="n"/>
      <c r="D198" s="13">
        <f>IF($A198="","",D198)</f>
        <v/>
      </c>
      <c r="E198" s="10" t="n"/>
      <c r="F198" s="10" t="n"/>
      <c r="G198" s="10" t="n"/>
      <c r="H198" s="11">
        <f>IF($A198="","",IFERROR(B198/C198,0))</f>
        <v/>
      </c>
      <c r="I198" s="11">
        <f>IF($A198="","",IFERROR(B198/C198,0))</f>
        <v/>
      </c>
      <c r="J198" s="11">
        <f>IF($A198="","",IFERROR((C198-B198)/C198,0))</f>
        <v/>
      </c>
      <c r="K198" s="13">
        <f>IF($A198="","",D198)</f>
        <v/>
      </c>
      <c r="L198" s="13">
        <f>IF($A198="","",E198)</f>
        <v/>
      </c>
      <c r="M198" s="12">
        <f>IF($A198="","",F198)</f>
        <v/>
      </c>
      <c r="N198" s="14">
        <f>IF($A198="","",IFERROR(G198/Social!B198,0))</f>
        <v/>
      </c>
    </row>
    <row r="199" ht="22" customHeight="1">
      <c r="A199" s="9" t="n"/>
      <c r="B199" s="10" t="n"/>
      <c r="C199" s="10" t="n"/>
      <c r="D199" s="13">
        <f>IF($A199="","",D199)</f>
        <v/>
      </c>
      <c r="E199" s="10" t="n"/>
      <c r="F199" s="10" t="n"/>
      <c r="G199" s="10" t="n"/>
      <c r="H199" s="11">
        <f>IF($A199="","",IFERROR(B199/C199,0))</f>
        <v/>
      </c>
      <c r="I199" s="11">
        <f>IF($A199="","",IFERROR(B199/C199,0))</f>
        <v/>
      </c>
      <c r="J199" s="11">
        <f>IF($A199="","",IFERROR((C199-B199)/C199,0))</f>
        <v/>
      </c>
      <c r="K199" s="13">
        <f>IF($A199="","",D199)</f>
        <v/>
      </c>
      <c r="L199" s="13">
        <f>IF($A199="","",E199)</f>
        <v/>
      </c>
      <c r="M199" s="12">
        <f>IF($A199="","",F199)</f>
        <v/>
      </c>
      <c r="N199" s="14">
        <f>IF($A199="","",IFERROR(G199/Social!B199,0))</f>
        <v/>
      </c>
    </row>
    <row r="200" ht="22" customHeight="1">
      <c r="A200" s="9" t="n"/>
      <c r="B200" s="10" t="n"/>
      <c r="C200" s="10" t="n"/>
      <c r="D200" s="13">
        <f>IF($A200="","",D200)</f>
        <v/>
      </c>
      <c r="E200" s="10" t="n"/>
      <c r="F200" s="10" t="n"/>
      <c r="G200" s="10" t="n"/>
      <c r="H200" s="11">
        <f>IF($A200="","",IFERROR(B200/C200,0))</f>
        <v/>
      </c>
      <c r="I200" s="11">
        <f>IF($A200="","",IFERROR(B200/C200,0))</f>
        <v/>
      </c>
      <c r="J200" s="11">
        <f>IF($A200="","",IFERROR((C200-B200)/C200,0))</f>
        <v/>
      </c>
      <c r="K200" s="13">
        <f>IF($A200="","",D200)</f>
        <v/>
      </c>
      <c r="L200" s="13">
        <f>IF($A200="","",E200)</f>
        <v/>
      </c>
      <c r="M200" s="12">
        <f>IF($A200="","",F200)</f>
        <v/>
      </c>
      <c r="N200" s="14">
        <f>IF($A200="","",IFERROR(G200/Social!B200,0))</f>
        <v/>
      </c>
    </row>
  </sheetData>
  <autoFilter ref="A1:N200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D1D5DB"/>
    <outlinePr summaryBelow="1" summaryRight="1"/>
    <pageSetUpPr/>
  </sheetPr>
  <dimension ref="A1:L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9" customWidth="1" min="2" max="2"/>
    <col width="17" customWidth="1" min="3" max="3"/>
    <col width="20" customWidth="1" min="4" max="4"/>
    <col width="19" customWidth="1" min="5" max="5"/>
    <col width="20" customWidth="1" min="6" max="6"/>
    <col width="22" customWidth="1" min="7" max="7"/>
    <col width="21" customWidth="1" min="8" max="8"/>
    <col width="32" customWidth="1" min="9" max="9"/>
    <col width="21" customWidth="1" min="10" max="10"/>
    <col width="32" customWidth="1" min="11" max="11"/>
    <col width="32" customWidth="1" min="12" max="12"/>
  </cols>
  <sheetData>
    <row r="1" ht="30" customHeight="1">
      <c r="A1" s="7" t="inlineStr">
        <is>
          <t>week_start</t>
        </is>
      </c>
      <c r="B1" s="7" t="inlineStr">
        <is>
          <t>visites_realisees</t>
        </is>
      </c>
      <c r="C1" s="7" t="inlineStr">
        <is>
          <t>visites_prevues</t>
        </is>
      </c>
      <c r="D1" s="7" t="inlineStr">
        <is>
          <t>delai_reaction</t>
        </is>
      </c>
      <c r="E1" s="7" t="inlineStr">
        <is>
          <t>incidents_resolus</t>
        </is>
      </c>
      <c r="F1" s="7" t="inlineStr">
        <is>
          <t>incidents_detectes</t>
        </is>
      </c>
      <c r="G1" s="8" t="inlineStr">
        <is>
          <t>visites_terrain_jour</t>
        </is>
      </c>
      <c r="H1" s="8" t="inlineStr">
        <is>
          <t>incidents_jour</t>
        </is>
      </c>
      <c r="I1" s="8" t="inlineStr">
        <is>
          <t>taux_visites</t>
        </is>
      </c>
      <c r="J1" s="8" t="inlineStr">
        <is>
          <t>motos_visitees</t>
        </is>
      </c>
      <c r="K1" s="8" t="inlineStr">
        <is>
          <t>visites_par_benef</t>
        </is>
      </c>
      <c r="L1" s="8" t="inlineStr">
        <is>
          <t>taux_resolution</t>
        </is>
      </c>
    </row>
    <row r="2" ht="22" customHeight="1">
      <c r="A2" s="9" t="n">
        <v>46027</v>
      </c>
      <c r="B2" s="10" t="n">
        <v>147</v>
      </c>
      <c r="C2" s="10" t="n">
        <v>160</v>
      </c>
      <c r="D2" s="10" t="n">
        <v>3.500287204806627</v>
      </c>
      <c r="E2" s="10" t="n">
        <v>14</v>
      </c>
      <c r="F2" s="10" t="n">
        <v>20</v>
      </c>
      <c r="G2" s="12">
        <f>IF($A2="","",B2)</f>
        <v/>
      </c>
      <c r="H2" s="12">
        <f>IF($A2="","",F2)</f>
        <v/>
      </c>
      <c r="I2" s="11">
        <f>IF($A2="","",IFERROR(C2/B2,0))</f>
        <v/>
      </c>
      <c r="J2" s="12">
        <f>IF($A2="","",B2)</f>
        <v/>
      </c>
      <c r="K2" s="14">
        <f>IF($A2="","",IFERROR(B2/Social!B2,0))</f>
        <v/>
      </c>
      <c r="L2" s="11">
        <f>IF($A2="","",IFERROR(E2/F2,0))</f>
        <v/>
      </c>
    </row>
    <row r="3" ht="22" customHeight="1">
      <c r="A3" s="9" t="n">
        <v>46034</v>
      </c>
      <c r="B3" s="10" t="n">
        <v>145</v>
      </c>
      <c r="C3" s="10" t="n">
        <v>169</v>
      </c>
      <c r="D3" s="10" t="n">
        <v>3.184285900153371</v>
      </c>
      <c r="E3" s="10" t="n">
        <v>13</v>
      </c>
      <c r="F3" s="10" t="n">
        <v>16</v>
      </c>
      <c r="G3" s="12">
        <f>IF($A3="","",B3)</f>
        <v/>
      </c>
      <c r="H3" s="12">
        <f>IF($A3="","",F3)</f>
        <v/>
      </c>
      <c r="I3" s="11">
        <f>IF($A3="","",IFERROR(C3/B3,0))</f>
        <v/>
      </c>
      <c r="J3" s="12">
        <f>IF($A3="","",B3)</f>
        <v/>
      </c>
      <c r="K3" s="14">
        <f>IF($A3="","",IFERROR(B3/Social!B3,0))</f>
        <v/>
      </c>
      <c r="L3" s="11">
        <f>IF($A3="","",IFERROR(E3/F3,0))</f>
        <v/>
      </c>
    </row>
    <row r="4" ht="22" customHeight="1">
      <c r="A4" s="9" t="n">
        <v>46041</v>
      </c>
      <c r="B4" s="10" t="n">
        <v>147</v>
      </c>
      <c r="C4" s="10" t="n">
        <v>166</v>
      </c>
      <c r="D4" s="10" t="n">
        <v>1.25188230899587</v>
      </c>
      <c r="E4" s="10" t="n">
        <v>17</v>
      </c>
      <c r="F4" s="10" t="n">
        <v>21</v>
      </c>
      <c r="G4" s="12">
        <f>IF($A4="","",B4)</f>
        <v/>
      </c>
      <c r="H4" s="12">
        <f>IF($A4="","",F4)</f>
        <v/>
      </c>
      <c r="I4" s="11">
        <f>IF($A4="","",IFERROR(C4/B4,0))</f>
        <v/>
      </c>
      <c r="J4" s="12">
        <f>IF($A4="","",B4)</f>
        <v/>
      </c>
      <c r="K4" s="14">
        <f>IF($A4="","",IFERROR(B4/Social!B4,0))</f>
        <v/>
      </c>
      <c r="L4" s="11">
        <f>IF($A4="","",IFERROR(E4/F4,0))</f>
        <v/>
      </c>
    </row>
    <row r="5" ht="22" customHeight="1">
      <c r="A5" s="9" t="n">
        <v>46048</v>
      </c>
      <c r="B5" s="10" t="n">
        <v>158</v>
      </c>
      <c r="C5" s="10" t="n">
        <v>170</v>
      </c>
      <c r="D5" s="10" t="n">
        <v>0.8813990094377731</v>
      </c>
      <c r="E5" s="10" t="n">
        <v>16</v>
      </c>
      <c r="F5" s="10" t="n">
        <v>20</v>
      </c>
      <c r="G5" s="12">
        <f>IF($A5="","",B5)</f>
        <v/>
      </c>
      <c r="H5" s="12">
        <f>IF($A5="","",F5)</f>
        <v/>
      </c>
      <c r="I5" s="11">
        <f>IF($A5="","",IFERROR(C5/B5,0))</f>
        <v/>
      </c>
      <c r="J5" s="12">
        <f>IF($A5="","",B5)</f>
        <v/>
      </c>
      <c r="K5" s="14">
        <f>IF($A5="","",IFERROR(B5/Social!B5,0))</f>
        <v/>
      </c>
      <c r="L5" s="11">
        <f>IF($A5="","",IFERROR(E5/F5,0))</f>
        <v/>
      </c>
    </row>
    <row r="6" ht="22" customHeight="1">
      <c r="A6" s="9" t="n">
        <v>46055</v>
      </c>
      <c r="B6" s="10" t="n">
        <v>151</v>
      </c>
      <c r="C6" s="10" t="n">
        <v>176</v>
      </c>
      <c r="D6" s="10" t="n">
        <v>3.841601002188824</v>
      </c>
      <c r="E6" s="10" t="n">
        <v>20</v>
      </c>
      <c r="F6" s="10" t="n">
        <v>25</v>
      </c>
      <c r="G6" s="12">
        <f>IF($A6="","",B6)</f>
        <v/>
      </c>
      <c r="H6" s="12">
        <f>IF($A6="","",F6)</f>
        <v/>
      </c>
      <c r="I6" s="11">
        <f>IF($A6="","",IFERROR(C6/B6,0))</f>
        <v/>
      </c>
      <c r="J6" s="12">
        <f>IF($A6="","",B6)</f>
        <v/>
      </c>
      <c r="K6" s="14">
        <f>IF($A6="","",IFERROR(B6/Social!B6,0))</f>
        <v/>
      </c>
      <c r="L6" s="11">
        <f>IF($A6="","",IFERROR(E6/F6,0))</f>
        <v/>
      </c>
    </row>
    <row r="7" ht="22" customHeight="1">
      <c r="A7" s="9" t="n">
        <v>46062</v>
      </c>
      <c r="B7" s="10" t="n">
        <v>158</v>
      </c>
      <c r="C7" s="10" t="n">
        <v>172</v>
      </c>
      <c r="D7" s="10" t="n">
        <v>0.5</v>
      </c>
      <c r="E7" s="10" t="n">
        <v>13</v>
      </c>
      <c r="F7" s="10" t="n">
        <v>18</v>
      </c>
      <c r="G7" s="12">
        <f>IF($A7="","",B7)</f>
        <v/>
      </c>
      <c r="H7" s="12">
        <f>IF($A7="","",F7)</f>
        <v/>
      </c>
      <c r="I7" s="11">
        <f>IF($A7="","",IFERROR(C7/B7,0))</f>
        <v/>
      </c>
      <c r="J7" s="12">
        <f>IF($A7="","",B7)</f>
        <v/>
      </c>
      <c r="K7" s="14">
        <f>IF($A7="","",IFERROR(B7/Social!B7,0))</f>
        <v/>
      </c>
      <c r="L7" s="11">
        <f>IF($A7="","",IFERROR(E7/F7,0))</f>
        <v/>
      </c>
    </row>
    <row r="8" ht="22" customHeight="1">
      <c r="A8" s="9" t="n">
        <v>46069</v>
      </c>
      <c r="B8" s="10" t="n">
        <v>167</v>
      </c>
      <c r="C8" s="10" t="n">
        <v>172</v>
      </c>
      <c r="D8" s="10" t="n">
        <v>3.23841571158682</v>
      </c>
      <c r="E8" s="10" t="n">
        <v>15</v>
      </c>
      <c r="F8" s="10" t="n">
        <v>22</v>
      </c>
      <c r="G8" s="12">
        <f>IF($A8="","",B8)</f>
        <v/>
      </c>
      <c r="H8" s="12">
        <f>IF($A8="","",F8)</f>
        <v/>
      </c>
      <c r="I8" s="11">
        <f>IF($A8="","",IFERROR(C8/B8,0))</f>
        <v/>
      </c>
      <c r="J8" s="12">
        <f>IF($A8="","",B8)</f>
        <v/>
      </c>
      <c r="K8" s="14">
        <f>IF($A8="","",IFERROR(B8/Social!B8,0))</f>
        <v/>
      </c>
      <c r="L8" s="11">
        <f>IF($A8="","",IFERROR(E8/F8,0))</f>
        <v/>
      </c>
    </row>
    <row r="9" ht="22" customHeight="1">
      <c r="A9" s="9" t="n">
        <v>46076</v>
      </c>
      <c r="B9" s="10" t="n">
        <v>158</v>
      </c>
      <c r="C9" s="10" t="n">
        <v>167</v>
      </c>
      <c r="D9" s="10" t="n">
        <v>3.951299148704967</v>
      </c>
      <c r="E9" s="10" t="n">
        <v>20</v>
      </c>
      <c r="F9" s="10" t="n">
        <v>23</v>
      </c>
      <c r="G9" s="12">
        <f>IF($A9="","",B9)</f>
        <v/>
      </c>
      <c r="H9" s="12">
        <f>IF($A9="","",F9)</f>
        <v/>
      </c>
      <c r="I9" s="11">
        <f>IF($A9="","",IFERROR(C9/B9,0))</f>
        <v/>
      </c>
      <c r="J9" s="12">
        <f>IF($A9="","",B9)</f>
        <v/>
      </c>
      <c r="K9" s="14">
        <f>IF($A9="","",IFERROR(B9/Social!B9,0))</f>
        <v/>
      </c>
      <c r="L9" s="11">
        <f>IF($A9="","",IFERROR(E9/F9,0))</f>
        <v/>
      </c>
    </row>
    <row r="10" ht="22" customHeight="1">
      <c r="A10" s="9" t="n">
        <v>46083</v>
      </c>
      <c r="B10" s="10" t="n">
        <v>162</v>
      </c>
      <c r="C10" s="10" t="n">
        <v>172</v>
      </c>
      <c r="D10" s="10" t="n">
        <v>2.105094215074235</v>
      </c>
      <c r="E10" s="10" t="n">
        <v>15</v>
      </c>
      <c r="F10" s="10" t="n">
        <v>22</v>
      </c>
      <c r="G10" s="12">
        <f>IF($A10="","",B10)</f>
        <v/>
      </c>
      <c r="H10" s="12">
        <f>IF($A10="","",F10)</f>
        <v/>
      </c>
      <c r="I10" s="11">
        <f>IF($A10="","",IFERROR(C10/B10,0))</f>
        <v/>
      </c>
      <c r="J10" s="12">
        <f>IF($A10="","",B10)</f>
        <v/>
      </c>
      <c r="K10" s="14">
        <f>IF($A10="","",IFERROR(B10/Social!B10,0))</f>
        <v/>
      </c>
      <c r="L10" s="11">
        <f>IF($A10="","",IFERROR(E10/F10,0))</f>
        <v/>
      </c>
    </row>
    <row r="11" ht="22" customHeight="1">
      <c r="A11" s="9" t="n">
        <v>46090</v>
      </c>
      <c r="B11" s="10" t="n">
        <v>164</v>
      </c>
      <c r="C11" s="10" t="n">
        <v>175</v>
      </c>
      <c r="D11" s="10" t="n">
        <v>1.443827029326393</v>
      </c>
      <c r="E11" s="10" t="n">
        <v>15</v>
      </c>
      <c r="F11" s="10" t="n">
        <v>20</v>
      </c>
      <c r="G11" s="12">
        <f>IF($A11="","",B11)</f>
        <v/>
      </c>
      <c r="H11" s="12">
        <f>IF($A11="","",F11)</f>
        <v/>
      </c>
      <c r="I11" s="11">
        <f>IF($A11="","",IFERROR(C11/B11,0))</f>
        <v/>
      </c>
      <c r="J11" s="12">
        <f>IF($A11="","",B11)</f>
        <v/>
      </c>
      <c r="K11" s="14">
        <f>IF($A11="","",IFERROR(B11/Social!B11,0))</f>
        <v/>
      </c>
      <c r="L11" s="11">
        <f>IF($A11="","",IFERROR(E11/F11,0))</f>
        <v/>
      </c>
    </row>
    <row r="12" ht="22" customHeight="1">
      <c r="A12" s="9" t="n">
        <v>46097</v>
      </c>
      <c r="B12" s="10" t="n">
        <v>154</v>
      </c>
      <c r="C12" s="10" t="n">
        <v>169</v>
      </c>
      <c r="D12" s="10" t="n">
        <v>2.60895290066363</v>
      </c>
      <c r="E12" s="10" t="n">
        <v>21</v>
      </c>
      <c r="F12" s="10" t="n">
        <v>25</v>
      </c>
      <c r="G12" s="12">
        <f>IF($A12="","",B12)</f>
        <v/>
      </c>
      <c r="H12" s="12">
        <f>IF($A12="","",F12)</f>
        <v/>
      </c>
      <c r="I12" s="11">
        <f>IF($A12="","",IFERROR(C12/B12,0))</f>
        <v/>
      </c>
      <c r="J12" s="12">
        <f>IF($A12="","",B12)</f>
        <v/>
      </c>
      <c r="K12" s="14">
        <f>IF($A12="","",IFERROR(B12/Social!B12,0))</f>
        <v/>
      </c>
      <c r="L12" s="11">
        <f>IF($A12="","",IFERROR(E12/F12,0))</f>
        <v/>
      </c>
    </row>
    <row r="13" ht="22" customHeight="1">
      <c r="A13" s="9" t="n">
        <v>46104</v>
      </c>
      <c r="B13" s="10" t="n">
        <v>160</v>
      </c>
      <c r="C13" s="10" t="n">
        <v>176</v>
      </c>
      <c r="D13" s="10" t="n">
        <v>2.637345483920868</v>
      </c>
      <c r="E13" s="10" t="n">
        <v>25</v>
      </c>
      <c r="F13" s="10" t="n">
        <v>31</v>
      </c>
      <c r="G13" s="12">
        <f>IF($A13="","",B13)</f>
        <v/>
      </c>
      <c r="H13" s="12">
        <f>IF($A13="","",F13)</f>
        <v/>
      </c>
      <c r="I13" s="11">
        <f>IF($A13="","",IFERROR(C13/B13,0))</f>
        <v/>
      </c>
      <c r="J13" s="12">
        <f>IF($A13="","",B13)</f>
        <v/>
      </c>
      <c r="K13" s="14">
        <f>IF($A13="","",IFERROR(B13/Social!B13,0))</f>
        <v/>
      </c>
      <c r="L13" s="11">
        <f>IF($A13="","",IFERROR(E13/F13,0))</f>
        <v/>
      </c>
    </row>
    <row r="14" ht="22" customHeight="1">
      <c r="A14" s="9" t="n">
        <v>46111</v>
      </c>
      <c r="B14" s="10" t="n">
        <v>148</v>
      </c>
      <c r="C14" s="10" t="n">
        <v>166</v>
      </c>
      <c r="D14" s="10" t="n">
        <v>3.459670700079924</v>
      </c>
      <c r="E14" s="10" t="n">
        <v>23</v>
      </c>
      <c r="F14" s="10" t="n">
        <v>30</v>
      </c>
      <c r="G14" s="12">
        <f>IF($A14="","",B14)</f>
        <v/>
      </c>
      <c r="H14" s="12">
        <f>IF($A14="","",F14)</f>
        <v/>
      </c>
      <c r="I14" s="11">
        <f>IF($A14="","",IFERROR(C14/B14,0))</f>
        <v/>
      </c>
      <c r="J14" s="12">
        <f>IF($A14="","",B14)</f>
        <v/>
      </c>
      <c r="K14" s="14">
        <f>IF($A14="","",IFERROR(B14/Social!B14,0))</f>
        <v/>
      </c>
      <c r="L14" s="11">
        <f>IF($A14="","",IFERROR(E14/F14,0))</f>
        <v/>
      </c>
    </row>
    <row r="15" ht="22" customHeight="1">
      <c r="A15" s="9" t="n">
        <v>46118</v>
      </c>
      <c r="B15" s="10" t="n">
        <v>170</v>
      </c>
      <c r="C15" s="10" t="n">
        <v>176</v>
      </c>
      <c r="D15" s="10" t="n">
        <v>2.429503883588635</v>
      </c>
      <c r="E15" s="10" t="n">
        <v>16</v>
      </c>
      <c r="F15" s="10" t="n">
        <v>20</v>
      </c>
      <c r="G15" s="12">
        <f>IF($A15="","",B15)</f>
        <v/>
      </c>
      <c r="H15" s="12">
        <f>IF($A15="","",F15)</f>
        <v/>
      </c>
      <c r="I15" s="11">
        <f>IF($A15="","",IFERROR(C15/B15,0))</f>
        <v/>
      </c>
      <c r="J15" s="12">
        <f>IF($A15="","",B15)</f>
        <v/>
      </c>
      <c r="K15" s="14">
        <f>IF($A15="","",IFERROR(B15/Social!B15,0))</f>
        <v/>
      </c>
      <c r="L15" s="11">
        <f>IF($A15="","",IFERROR(E15/F15,0))</f>
        <v/>
      </c>
    </row>
    <row r="16" ht="22" customHeight="1">
      <c r="A16" s="9" t="n">
        <v>46125</v>
      </c>
      <c r="B16" s="10" t="n">
        <v>178</v>
      </c>
      <c r="C16" s="10" t="n">
        <v>181</v>
      </c>
      <c r="D16" s="10" t="n">
        <v>1.622989261734556</v>
      </c>
      <c r="E16" s="10" t="n">
        <v>24</v>
      </c>
      <c r="F16" s="10" t="n">
        <v>28</v>
      </c>
      <c r="G16" s="12">
        <f>IF($A16="","",B16)</f>
        <v/>
      </c>
      <c r="H16" s="12">
        <f>IF($A16="","",F16)</f>
        <v/>
      </c>
      <c r="I16" s="11">
        <f>IF($A16="","",IFERROR(C16/B16,0))</f>
        <v/>
      </c>
      <c r="J16" s="12">
        <f>IF($A16="","",B16)</f>
        <v/>
      </c>
      <c r="K16" s="14">
        <f>IF($A16="","",IFERROR(B16/Social!B16,0))</f>
        <v/>
      </c>
      <c r="L16" s="11">
        <f>IF($A16="","",IFERROR(E16/F16,0))</f>
        <v/>
      </c>
    </row>
    <row r="17" ht="22" customHeight="1">
      <c r="A17" s="9" t="n">
        <v>46132</v>
      </c>
      <c r="B17" s="10" t="n">
        <v>180</v>
      </c>
      <c r="C17" s="10" t="n">
        <v>188</v>
      </c>
      <c r="D17" s="10" t="n">
        <v>0.9579664130469672</v>
      </c>
      <c r="E17" s="10" t="n">
        <v>27</v>
      </c>
      <c r="F17" s="10" t="n">
        <v>28</v>
      </c>
      <c r="G17" s="12">
        <f>IF($A17="","",B17)</f>
        <v/>
      </c>
      <c r="H17" s="12">
        <f>IF($A17="","",F17)</f>
        <v/>
      </c>
      <c r="I17" s="11">
        <f>IF($A17="","",IFERROR(C17/B17,0))</f>
        <v/>
      </c>
      <c r="J17" s="12">
        <f>IF($A17="","",B17)</f>
        <v/>
      </c>
      <c r="K17" s="14">
        <f>IF($A17="","",IFERROR(B17/Social!B17,0))</f>
        <v/>
      </c>
      <c r="L17" s="11">
        <f>IF($A17="","",IFERROR(E17/F17,0))</f>
        <v/>
      </c>
    </row>
    <row r="18" ht="22" customHeight="1">
      <c r="A18" s="9" t="n">
        <v>46139</v>
      </c>
      <c r="B18" s="10" t="n">
        <v>162</v>
      </c>
      <c r="C18" s="10" t="n">
        <v>175</v>
      </c>
      <c r="D18" s="10" t="n">
        <v>2.294212049404682</v>
      </c>
      <c r="E18" s="10" t="n">
        <v>20</v>
      </c>
      <c r="F18" s="10" t="n">
        <v>27</v>
      </c>
      <c r="G18" s="12">
        <f>IF($A18="","",B18)</f>
        <v/>
      </c>
      <c r="H18" s="12">
        <f>IF($A18="","",F18)</f>
        <v/>
      </c>
      <c r="I18" s="11">
        <f>IF($A18="","",IFERROR(C18/B18,0))</f>
        <v/>
      </c>
      <c r="J18" s="12">
        <f>IF($A18="","",B18)</f>
        <v/>
      </c>
      <c r="K18" s="14">
        <f>IF($A18="","",IFERROR(B18/Social!B18,0))</f>
        <v/>
      </c>
      <c r="L18" s="11">
        <f>IF($A18="","",IFERROR(E18/F18,0))</f>
        <v/>
      </c>
    </row>
    <row r="19" ht="22" customHeight="1">
      <c r="A19" s="9" t="n">
        <v>46146</v>
      </c>
      <c r="B19" s="10" t="n">
        <v>164</v>
      </c>
      <c r="C19" s="10" t="n">
        <v>186</v>
      </c>
      <c r="D19" s="10" t="n">
        <v>1.463510454758219</v>
      </c>
      <c r="E19" s="10" t="n">
        <v>15</v>
      </c>
      <c r="F19" s="10" t="n">
        <v>22</v>
      </c>
      <c r="G19" s="12">
        <f>IF($A19="","",B19)</f>
        <v/>
      </c>
      <c r="H19" s="12">
        <f>IF($A19="","",F19)</f>
        <v/>
      </c>
      <c r="I19" s="11">
        <f>IF($A19="","",IFERROR(C19/B19,0))</f>
        <v/>
      </c>
      <c r="J19" s="12">
        <f>IF($A19="","",B19)</f>
        <v/>
      </c>
      <c r="K19" s="14">
        <f>IF($A19="","",IFERROR(B19/Social!B19,0))</f>
        <v/>
      </c>
      <c r="L19" s="11">
        <f>IF($A19="","",IFERROR(E19/F19,0))</f>
        <v/>
      </c>
    </row>
    <row r="20" ht="22" customHeight="1">
      <c r="A20" s="9" t="n">
        <v>46153</v>
      </c>
      <c r="B20" s="10" t="n">
        <v>151</v>
      </c>
      <c r="C20" s="10" t="n">
        <v>178</v>
      </c>
      <c r="D20" s="10" t="n">
        <v>2.462443021619501</v>
      </c>
      <c r="E20" s="10" t="n">
        <v>21</v>
      </c>
      <c r="F20" s="10" t="n">
        <v>28</v>
      </c>
      <c r="G20" s="12">
        <f>IF($A20="","",B20)</f>
        <v/>
      </c>
      <c r="H20" s="12">
        <f>IF($A20="","",F20)</f>
        <v/>
      </c>
      <c r="I20" s="11">
        <f>IF($A20="","",IFERROR(C20/B20,0))</f>
        <v/>
      </c>
      <c r="J20" s="12">
        <f>IF($A20="","",B20)</f>
        <v/>
      </c>
      <c r="K20" s="14">
        <f>IF($A20="","",IFERROR(B20/Social!B20,0))</f>
        <v/>
      </c>
      <c r="L20" s="11">
        <f>IF($A20="","",IFERROR(E20/F20,0))</f>
        <v/>
      </c>
    </row>
    <row r="21" ht="22" customHeight="1">
      <c r="A21" s="9" t="n">
        <v>46160</v>
      </c>
      <c r="B21" s="10" t="n">
        <v>154</v>
      </c>
      <c r="C21" s="10" t="n">
        <v>180</v>
      </c>
      <c r="D21" s="10" t="n">
        <v>2.405705156126042</v>
      </c>
      <c r="E21" s="10" t="n">
        <v>18</v>
      </c>
      <c r="F21" s="10" t="n">
        <v>24</v>
      </c>
      <c r="G21" s="12">
        <f>IF($A21="","",B21)</f>
        <v/>
      </c>
      <c r="H21" s="12">
        <f>IF($A21="","",F21)</f>
        <v/>
      </c>
      <c r="I21" s="11">
        <f>IF($A21="","",IFERROR(C21/B21,0))</f>
        <v/>
      </c>
      <c r="J21" s="12">
        <f>IF($A21="","",B21)</f>
        <v/>
      </c>
      <c r="K21" s="14">
        <f>IF($A21="","",IFERROR(B21/Social!B21,0))</f>
        <v/>
      </c>
      <c r="L21" s="11">
        <f>IF($A21="","",IFERROR(E21/F21,0))</f>
        <v/>
      </c>
    </row>
    <row r="22" ht="22" customHeight="1">
      <c r="A22" s="9" t="n">
        <v>46167</v>
      </c>
      <c r="B22" s="10" t="n">
        <v>165</v>
      </c>
      <c r="C22" s="10" t="n">
        <v>184</v>
      </c>
      <c r="D22" s="10" t="n">
        <v>1.752467790043688</v>
      </c>
      <c r="E22" s="10" t="n">
        <v>18</v>
      </c>
      <c r="F22" s="10" t="n">
        <v>21</v>
      </c>
      <c r="G22" s="12">
        <f>IF($A22="","",B22)</f>
        <v/>
      </c>
      <c r="H22" s="12">
        <f>IF($A22="","",F22)</f>
        <v/>
      </c>
      <c r="I22" s="11">
        <f>IF($A22="","",IFERROR(C22/B22,0))</f>
        <v/>
      </c>
      <c r="J22" s="12">
        <f>IF($A22="","",B22)</f>
        <v/>
      </c>
      <c r="K22" s="14">
        <f>IF($A22="","",IFERROR(B22/Social!B22,0))</f>
        <v/>
      </c>
      <c r="L22" s="11">
        <f>IF($A22="","",IFERROR(E22/F22,0))</f>
        <v/>
      </c>
    </row>
    <row r="23" ht="22" customHeight="1">
      <c r="A23" s="9" t="n">
        <v>46174</v>
      </c>
      <c r="B23" s="10" t="n">
        <v>159</v>
      </c>
      <c r="C23" s="10" t="n">
        <v>189</v>
      </c>
      <c r="D23" s="10" t="n">
        <v>3.70954101864364</v>
      </c>
      <c r="E23" s="10" t="n">
        <v>23</v>
      </c>
      <c r="F23" s="10" t="n">
        <v>25</v>
      </c>
      <c r="G23" s="12">
        <f>IF($A23="","",B23)</f>
        <v/>
      </c>
      <c r="H23" s="12">
        <f>IF($A23="","",F23)</f>
        <v/>
      </c>
      <c r="I23" s="11">
        <f>IF($A23="","",IFERROR(C23/B23,0))</f>
        <v/>
      </c>
      <c r="J23" s="12">
        <f>IF($A23="","",B23)</f>
        <v/>
      </c>
      <c r="K23" s="14">
        <f>IF($A23="","",IFERROR(B23/Social!B23,0))</f>
        <v/>
      </c>
      <c r="L23" s="11">
        <f>IF($A23="","",IFERROR(E23/F23,0))</f>
        <v/>
      </c>
    </row>
    <row r="24" ht="22" customHeight="1">
      <c r="A24" s="9" t="n">
        <v>46181</v>
      </c>
      <c r="B24" s="10" t="n">
        <v>156</v>
      </c>
      <c r="C24" s="10" t="n">
        <v>189</v>
      </c>
      <c r="D24" s="10" t="n">
        <v>2.746534143890491</v>
      </c>
      <c r="E24" s="10" t="n">
        <v>16</v>
      </c>
      <c r="F24" s="10" t="n">
        <v>21</v>
      </c>
      <c r="G24" s="12">
        <f>IF($A24="","",B24)</f>
        <v/>
      </c>
      <c r="H24" s="12">
        <f>IF($A24="","",F24)</f>
        <v/>
      </c>
      <c r="I24" s="11">
        <f>IF($A24="","",IFERROR(C24/B24,0))</f>
        <v/>
      </c>
      <c r="J24" s="12">
        <f>IF($A24="","",B24)</f>
        <v/>
      </c>
      <c r="K24" s="14">
        <f>IF($A24="","",IFERROR(B24/Social!B24,0))</f>
        <v/>
      </c>
      <c r="L24" s="11">
        <f>IF($A24="","",IFERROR(E24/F24,0))</f>
        <v/>
      </c>
    </row>
    <row r="25" ht="22" customHeight="1">
      <c r="A25" s="9" t="n">
        <v>46188</v>
      </c>
      <c r="B25" s="10" t="n">
        <v>159</v>
      </c>
      <c r="C25" s="10" t="n">
        <v>183</v>
      </c>
      <c r="D25" s="10" t="n">
        <v>2.570859053553699</v>
      </c>
      <c r="E25" s="10" t="n">
        <v>13</v>
      </c>
      <c r="F25" s="10" t="n">
        <v>18</v>
      </c>
      <c r="G25" s="12">
        <f>IF($A25="","",B25)</f>
        <v/>
      </c>
      <c r="H25" s="12">
        <f>IF($A25="","",F25)</f>
        <v/>
      </c>
      <c r="I25" s="11">
        <f>IF($A25="","",IFERROR(C25/B25,0))</f>
        <v/>
      </c>
      <c r="J25" s="12">
        <f>IF($A25="","",B25)</f>
        <v/>
      </c>
      <c r="K25" s="14">
        <f>IF($A25="","",IFERROR(B25/Social!B25,0))</f>
        <v/>
      </c>
      <c r="L25" s="11">
        <f>IF($A25="","",IFERROR(E25/F25,0))</f>
        <v/>
      </c>
    </row>
    <row r="26" ht="22" customHeight="1">
      <c r="A26" s="9" t="n">
        <v>46195</v>
      </c>
      <c r="B26" s="10" t="n">
        <v>163</v>
      </c>
      <c r="C26" s="10" t="n">
        <v>183</v>
      </c>
      <c r="D26" s="10" t="n">
        <v>2.617493747838754</v>
      </c>
      <c r="E26" s="10" t="n">
        <v>10</v>
      </c>
      <c r="F26" s="10" t="n">
        <v>13</v>
      </c>
      <c r="G26" s="12">
        <f>IF($A26="","",B26)</f>
        <v/>
      </c>
      <c r="H26" s="12">
        <f>IF($A26="","",F26)</f>
        <v/>
      </c>
      <c r="I26" s="11">
        <f>IF($A26="","",IFERROR(C26/B26,0))</f>
        <v/>
      </c>
      <c r="J26" s="12">
        <f>IF($A26="","",B26)</f>
        <v/>
      </c>
      <c r="K26" s="14">
        <f>IF($A26="","",IFERROR(B26/Social!B26,0))</f>
        <v/>
      </c>
      <c r="L26" s="11">
        <f>IF($A26="","",IFERROR(E26/F26,0))</f>
        <v/>
      </c>
    </row>
    <row r="27" ht="22" customHeight="1">
      <c r="A27" s="9" t="n">
        <v>46202</v>
      </c>
      <c r="B27" s="10" t="n">
        <v>163</v>
      </c>
      <c r="C27" s="10" t="n">
        <v>194</v>
      </c>
      <c r="D27" s="10" t="n">
        <v>2.642022102910741</v>
      </c>
      <c r="E27" s="10" t="n">
        <v>9</v>
      </c>
      <c r="F27" s="10" t="n">
        <v>13</v>
      </c>
      <c r="G27" s="12">
        <f>IF($A27="","",B27)</f>
        <v/>
      </c>
      <c r="H27" s="12">
        <f>IF($A27="","",F27)</f>
        <v/>
      </c>
      <c r="I27" s="11">
        <f>IF($A27="","",IFERROR(C27/B27,0))</f>
        <v/>
      </c>
      <c r="J27" s="12">
        <f>IF($A27="","",B27)</f>
        <v/>
      </c>
      <c r="K27" s="14">
        <f>IF($A27="","",IFERROR(B27/Social!B27,0))</f>
        <v/>
      </c>
      <c r="L27" s="11">
        <f>IF($A27="","",IFERROR(E27/F27,0))</f>
        <v/>
      </c>
    </row>
    <row r="28" ht="22" customHeight="1">
      <c r="A28" s="9" t="n">
        <v>46209</v>
      </c>
      <c r="B28" s="10" t="n">
        <v>139</v>
      </c>
      <c r="C28" s="10" t="n">
        <v>179</v>
      </c>
      <c r="D28" s="10" t="n">
        <v>2.953731090271705</v>
      </c>
      <c r="E28" s="10" t="n">
        <v>15</v>
      </c>
      <c r="F28" s="10" t="n">
        <v>18</v>
      </c>
      <c r="G28" s="12">
        <f>IF($A28="","",B28)</f>
        <v/>
      </c>
      <c r="H28" s="12">
        <f>IF($A28="","",F28)</f>
        <v/>
      </c>
      <c r="I28" s="11">
        <f>IF($A28="","",IFERROR(C28/B28,0))</f>
        <v/>
      </c>
      <c r="J28" s="12">
        <f>IF($A28="","",B28)</f>
        <v/>
      </c>
      <c r="K28" s="14">
        <f>IF($A28="","",IFERROR(B28/Social!B28,0))</f>
        <v/>
      </c>
      <c r="L28" s="11">
        <f>IF($A28="","",IFERROR(E28/F28,0))</f>
        <v/>
      </c>
    </row>
    <row r="29" ht="22" customHeight="1">
      <c r="A29" s="9" t="n">
        <v>46216</v>
      </c>
      <c r="B29" s="10" t="n">
        <v>151</v>
      </c>
      <c r="C29" s="10" t="n">
        <v>187</v>
      </c>
      <c r="D29" s="10" t="n">
        <v>3.106359632947322</v>
      </c>
      <c r="E29" s="10" t="n">
        <v>8</v>
      </c>
      <c r="F29" s="10" t="n">
        <v>11</v>
      </c>
      <c r="G29" s="12">
        <f>IF($A29="","",B29)</f>
        <v/>
      </c>
      <c r="H29" s="12">
        <f>IF($A29="","",F29)</f>
        <v/>
      </c>
      <c r="I29" s="11">
        <f>IF($A29="","",IFERROR(C29/B29,0))</f>
        <v/>
      </c>
      <c r="J29" s="12">
        <f>IF($A29="","",B29)</f>
        <v/>
      </c>
      <c r="K29" s="14">
        <f>IF($A29="","",IFERROR(B29/Social!B29,0))</f>
        <v/>
      </c>
      <c r="L29" s="11">
        <f>IF($A29="","",IFERROR(E29/F29,0))</f>
        <v/>
      </c>
    </row>
    <row r="30" ht="22" customHeight="1">
      <c r="A30" s="9" t="n">
        <v>46223</v>
      </c>
      <c r="B30" s="10" t="n">
        <v>154</v>
      </c>
      <c r="C30" s="10" t="n">
        <v>196</v>
      </c>
      <c r="D30" s="10" t="n">
        <v>1.655965457774795</v>
      </c>
      <c r="E30" s="10" t="n">
        <v>14</v>
      </c>
      <c r="F30" s="10" t="n">
        <v>16</v>
      </c>
      <c r="G30" s="12">
        <f>IF($A30="","",B30)</f>
        <v/>
      </c>
      <c r="H30" s="12">
        <f>IF($A30="","",F30)</f>
        <v/>
      </c>
      <c r="I30" s="11">
        <f>IF($A30="","",IFERROR(C30/B30,0))</f>
        <v/>
      </c>
      <c r="J30" s="12">
        <f>IF($A30="","",B30)</f>
        <v/>
      </c>
      <c r="K30" s="14">
        <f>IF($A30="","",IFERROR(B30/Social!B30,0))</f>
        <v/>
      </c>
      <c r="L30" s="11">
        <f>IF($A30="","",IFERROR(E30/F30,0))</f>
        <v/>
      </c>
    </row>
    <row r="31" ht="22" customHeight="1">
      <c r="A31" s="9" t="n">
        <v>46230</v>
      </c>
      <c r="B31" s="10" t="n">
        <v>158</v>
      </c>
      <c r="C31" s="10" t="n">
        <v>193</v>
      </c>
      <c r="D31" s="10" t="n">
        <v>2.08414285600382</v>
      </c>
      <c r="E31" s="10" t="n">
        <v>10</v>
      </c>
      <c r="F31" s="10" t="n">
        <v>12</v>
      </c>
      <c r="G31" s="12">
        <f>IF($A31="","",B31)</f>
        <v/>
      </c>
      <c r="H31" s="12">
        <f>IF($A31="","",F31)</f>
        <v/>
      </c>
      <c r="I31" s="11">
        <f>IF($A31="","",IFERROR(C31/B31,0))</f>
        <v/>
      </c>
      <c r="J31" s="12">
        <f>IF($A31="","",B31)</f>
        <v/>
      </c>
      <c r="K31" s="14">
        <f>IF($A31="","",IFERROR(B31/Social!B31,0))</f>
        <v/>
      </c>
      <c r="L31" s="11">
        <f>IF($A31="","",IFERROR(E31/F31,0))</f>
        <v/>
      </c>
    </row>
    <row r="32" ht="22" customHeight="1">
      <c r="A32" s="9" t="n">
        <v>46237</v>
      </c>
      <c r="B32" s="10" t="n">
        <v>159</v>
      </c>
      <c r="C32" s="10" t="n">
        <v>203</v>
      </c>
      <c r="D32" s="10" t="n">
        <v>1.481439282437996</v>
      </c>
      <c r="E32" s="10" t="n">
        <v>10</v>
      </c>
      <c r="F32" s="10" t="n">
        <v>13</v>
      </c>
      <c r="G32" s="12">
        <f>IF($A32="","",B32)</f>
        <v/>
      </c>
      <c r="H32" s="12">
        <f>IF($A32="","",F32)</f>
        <v/>
      </c>
      <c r="I32" s="11">
        <f>IF($A32="","",IFERROR(C32/B32,0))</f>
        <v/>
      </c>
      <c r="J32" s="12">
        <f>IF($A32="","",B32)</f>
        <v/>
      </c>
      <c r="K32" s="14">
        <f>IF($A32="","",IFERROR(B32/Social!B32,0))</f>
        <v/>
      </c>
      <c r="L32" s="11">
        <f>IF($A32="","",IFERROR(E32/F32,0))</f>
        <v/>
      </c>
    </row>
    <row r="33" ht="22" customHeight="1">
      <c r="A33" s="9" t="n">
        <v>46244</v>
      </c>
      <c r="B33" s="10" t="n">
        <v>157</v>
      </c>
      <c r="C33" s="10" t="n">
        <v>192</v>
      </c>
      <c r="D33" s="10" t="n">
        <v>2.475258969669501</v>
      </c>
      <c r="E33" s="10" t="n">
        <v>10</v>
      </c>
      <c r="F33" s="10" t="n">
        <v>13</v>
      </c>
      <c r="G33" s="12">
        <f>IF($A33="","",B33)</f>
        <v/>
      </c>
      <c r="H33" s="12">
        <f>IF($A33="","",F33)</f>
        <v/>
      </c>
      <c r="I33" s="11">
        <f>IF($A33="","",IFERROR(C33/B33,0))</f>
        <v/>
      </c>
      <c r="J33" s="12">
        <f>IF($A33="","",B33)</f>
        <v/>
      </c>
      <c r="K33" s="14">
        <f>IF($A33="","",IFERROR(B33/Social!B33,0))</f>
        <v/>
      </c>
      <c r="L33" s="11">
        <f>IF($A33="","",IFERROR(E33/F33,0))</f>
        <v/>
      </c>
    </row>
    <row r="34" ht="22" customHeight="1">
      <c r="A34" s="9" t="n">
        <v>46251</v>
      </c>
      <c r="B34" s="10" t="n">
        <v>161</v>
      </c>
      <c r="C34" s="10" t="n">
        <v>205</v>
      </c>
      <c r="D34" s="10" t="n">
        <v>1.728511569012738</v>
      </c>
      <c r="E34" s="10" t="n">
        <v>14</v>
      </c>
      <c r="F34" s="10" t="n">
        <v>17</v>
      </c>
      <c r="G34" s="12">
        <f>IF($A34="","",B34)</f>
        <v/>
      </c>
      <c r="H34" s="12">
        <f>IF($A34="","",F34)</f>
        <v/>
      </c>
      <c r="I34" s="11">
        <f>IF($A34="","",IFERROR(C34/B34,0))</f>
        <v/>
      </c>
      <c r="J34" s="12">
        <f>IF($A34="","",B34)</f>
        <v/>
      </c>
      <c r="K34" s="14">
        <f>IF($A34="","",IFERROR(B34/Social!B34,0))</f>
        <v/>
      </c>
      <c r="L34" s="11">
        <f>IF($A34="","",IFERROR(E34/F34,0))</f>
        <v/>
      </c>
    </row>
    <row r="35" ht="22" customHeight="1">
      <c r="A35" s="9" t="n">
        <v>46258</v>
      </c>
      <c r="B35" s="10" t="n">
        <v>169</v>
      </c>
      <c r="C35" s="10" t="n">
        <v>204</v>
      </c>
      <c r="D35" s="10" t="n">
        <v>1.834740524647163</v>
      </c>
      <c r="E35" s="10" t="n">
        <v>6</v>
      </c>
      <c r="F35" s="10" t="n">
        <v>9</v>
      </c>
      <c r="G35" s="12">
        <f>IF($A35="","",B35)</f>
        <v/>
      </c>
      <c r="H35" s="12">
        <f>IF($A35="","",F35)</f>
        <v/>
      </c>
      <c r="I35" s="11">
        <f>IF($A35="","",IFERROR(C35/B35,0))</f>
        <v/>
      </c>
      <c r="J35" s="12">
        <f>IF($A35="","",B35)</f>
        <v/>
      </c>
      <c r="K35" s="14">
        <f>IF($A35="","",IFERROR(B35/Social!B35,0))</f>
        <v/>
      </c>
      <c r="L35" s="11">
        <f>IF($A35="","",IFERROR(E35/F35,0))</f>
        <v/>
      </c>
    </row>
    <row r="36" ht="22" customHeight="1">
      <c r="A36" s="9" t="n">
        <v>46265</v>
      </c>
      <c r="B36" s="10" t="n">
        <v>144</v>
      </c>
      <c r="C36" s="10" t="n">
        <v>207</v>
      </c>
      <c r="D36" s="10" t="n">
        <v>4.053648007938769</v>
      </c>
      <c r="E36" s="10" t="n">
        <v>10</v>
      </c>
      <c r="F36" s="10" t="n">
        <v>11</v>
      </c>
      <c r="G36" s="12">
        <f>IF($A36="","",B36)</f>
        <v/>
      </c>
      <c r="H36" s="12">
        <f>IF($A36="","",F36)</f>
        <v/>
      </c>
      <c r="I36" s="11">
        <f>IF($A36="","",IFERROR(C36/B36,0))</f>
        <v/>
      </c>
      <c r="J36" s="12">
        <f>IF($A36="","",B36)</f>
        <v/>
      </c>
      <c r="K36" s="14">
        <f>IF($A36="","",IFERROR(B36/Social!B36,0))</f>
        <v/>
      </c>
      <c r="L36" s="11">
        <f>IF($A36="","",IFERROR(E36/F36,0))</f>
        <v/>
      </c>
    </row>
    <row r="37" ht="22" customHeight="1">
      <c r="A37" s="9" t="n">
        <v>46272</v>
      </c>
      <c r="B37" s="10" t="n">
        <v>161</v>
      </c>
      <c r="C37" s="10" t="n">
        <v>202</v>
      </c>
      <c r="D37" s="10" t="n">
        <v>2.347429880527186</v>
      </c>
      <c r="E37" s="10" t="n">
        <v>8</v>
      </c>
      <c r="F37" s="10" t="n">
        <v>10</v>
      </c>
      <c r="G37" s="12">
        <f>IF($A37="","",B37)</f>
        <v/>
      </c>
      <c r="H37" s="12">
        <f>IF($A37="","",F37)</f>
        <v/>
      </c>
      <c r="I37" s="11">
        <f>IF($A37="","",IFERROR(C37/B37,0))</f>
        <v/>
      </c>
      <c r="J37" s="12">
        <f>IF($A37="","",B37)</f>
        <v/>
      </c>
      <c r="K37" s="14">
        <f>IF($A37="","",IFERROR(B37/Social!B37,0))</f>
        <v/>
      </c>
      <c r="L37" s="11">
        <f>IF($A37="","",IFERROR(E37/F37,0))</f>
        <v/>
      </c>
    </row>
    <row r="38" ht="22" customHeight="1">
      <c r="A38" s="9" t="n">
        <v>46279</v>
      </c>
      <c r="B38" s="10" t="n">
        <v>159</v>
      </c>
      <c r="C38" s="10" t="n">
        <v>201</v>
      </c>
      <c r="D38" s="10" t="n">
        <v>3.520452640781801</v>
      </c>
      <c r="E38" s="10" t="n">
        <v>6</v>
      </c>
      <c r="F38" s="10" t="n">
        <v>8</v>
      </c>
      <c r="G38" s="12">
        <f>IF($A38="","",B38)</f>
        <v/>
      </c>
      <c r="H38" s="12">
        <f>IF($A38="","",F38)</f>
        <v/>
      </c>
      <c r="I38" s="11">
        <f>IF($A38="","",IFERROR(C38/B38,0))</f>
        <v/>
      </c>
      <c r="J38" s="12">
        <f>IF($A38="","",B38)</f>
        <v/>
      </c>
      <c r="K38" s="14">
        <f>IF($A38="","",IFERROR(B38/Social!B38,0))</f>
        <v/>
      </c>
      <c r="L38" s="11">
        <f>IF($A38="","",IFERROR(E38/F38,0))</f>
        <v/>
      </c>
    </row>
    <row r="39" ht="22" customHeight="1">
      <c r="A39" s="9" t="n">
        <v>46286</v>
      </c>
      <c r="B39" s="10" t="n">
        <v>165</v>
      </c>
      <c r="C39" s="10" t="n">
        <v>203</v>
      </c>
      <c r="D39" s="10" t="n">
        <v>1.72341973696785</v>
      </c>
      <c r="E39" s="10" t="n">
        <v>7</v>
      </c>
      <c r="F39" s="10" t="n">
        <v>8</v>
      </c>
      <c r="G39" s="12">
        <f>IF($A39="","",B39)</f>
        <v/>
      </c>
      <c r="H39" s="12">
        <f>IF($A39="","",F39)</f>
        <v/>
      </c>
      <c r="I39" s="11">
        <f>IF($A39="","",IFERROR(C39/B39,0))</f>
        <v/>
      </c>
      <c r="J39" s="12">
        <f>IF($A39="","",B39)</f>
        <v/>
      </c>
      <c r="K39" s="14">
        <f>IF($A39="","",IFERROR(B39/Social!B39,0))</f>
        <v/>
      </c>
      <c r="L39" s="11">
        <f>IF($A39="","",IFERROR(E39/F39,0))</f>
        <v/>
      </c>
    </row>
    <row r="40" ht="22" customHeight="1">
      <c r="A40" s="9" t="n">
        <v>46293</v>
      </c>
      <c r="B40" s="10" t="n">
        <v>182</v>
      </c>
      <c r="C40" s="10" t="n">
        <v>207</v>
      </c>
      <c r="D40" s="10" t="n">
        <v>2.67865807371825</v>
      </c>
      <c r="E40" s="10" t="n">
        <v>6</v>
      </c>
      <c r="F40" s="10" t="n">
        <v>8</v>
      </c>
      <c r="G40" s="12">
        <f>IF($A40="","",B40)</f>
        <v/>
      </c>
      <c r="H40" s="12">
        <f>IF($A40="","",F40)</f>
        <v/>
      </c>
      <c r="I40" s="11">
        <f>IF($A40="","",IFERROR(C40/B40,0))</f>
        <v/>
      </c>
      <c r="J40" s="12">
        <f>IF($A40="","",B40)</f>
        <v/>
      </c>
      <c r="K40" s="14">
        <f>IF($A40="","",IFERROR(B40/Social!B40,0))</f>
        <v/>
      </c>
      <c r="L40" s="11">
        <f>IF($A40="","",IFERROR(E40/F40,0))</f>
        <v/>
      </c>
    </row>
    <row r="41" ht="22" customHeight="1">
      <c r="A41" s="9" t="n">
        <v>46300</v>
      </c>
      <c r="B41" s="10" t="n">
        <v>146</v>
      </c>
      <c r="C41" s="10" t="n">
        <v>210</v>
      </c>
      <c r="D41" s="10" t="n">
        <v>2.398272132141289</v>
      </c>
      <c r="E41" s="10" t="n">
        <v>3</v>
      </c>
      <c r="F41" s="10" t="n">
        <v>4</v>
      </c>
      <c r="G41" s="12">
        <f>IF($A41="","",B41)</f>
        <v/>
      </c>
      <c r="H41" s="12">
        <f>IF($A41="","",F41)</f>
        <v/>
      </c>
      <c r="I41" s="11">
        <f>IF($A41="","",IFERROR(C41/B41,0))</f>
        <v/>
      </c>
      <c r="J41" s="12">
        <f>IF($A41="","",B41)</f>
        <v/>
      </c>
      <c r="K41" s="14">
        <f>IF($A41="","",IFERROR(B41/Social!B41,0))</f>
        <v/>
      </c>
      <c r="L41" s="11">
        <f>IF($A41="","",IFERROR(E41/F41,0))</f>
        <v/>
      </c>
    </row>
    <row r="42" ht="22" customHeight="1">
      <c r="A42" s="9" t="n">
        <v>46307</v>
      </c>
      <c r="B42" s="10" t="n">
        <v>169</v>
      </c>
      <c r="C42" s="10" t="n">
        <v>198</v>
      </c>
      <c r="D42" s="10" t="n">
        <v>2.606533543917246</v>
      </c>
      <c r="E42" s="10" t="n">
        <v>3</v>
      </c>
      <c r="F42" s="10" t="n">
        <v>5</v>
      </c>
      <c r="G42" s="12">
        <f>IF($A42="","",B42)</f>
        <v/>
      </c>
      <c r="H42" s="12">
        <f>IF($A42="","",F42)</f>
        <v/>
      </c>
      <c r="I42" s="11">
        <f>IF($A42="","",IFERROR(C42/B42,0))</f>
        <v/>
      </c>
      <c r="J42" s="12">
        <f>IF($A42="","",B42)</f>
        <v/>
      </c>
      <c r="K42" s="14">
        <f>IF($A42="","",IFERROR(B42/Social!B42,0))</f>
        <v/>
      </c>
      <c r="L42" s="11">
        <f>IF($A42="","",IFERROR(E42/F42,0))</f>
        <v/>
      </c>
    </row>
    <row r="43" ht="22" customHeight="1">
      <c r="A43" s="9" t="n">
        <v>46314</v>
      </c>
      <c r="B43" s="10" t="n">
        <v>173</v>
      </c>
      <c r="C43" s="10" t="n">
        <v>204</v>
      </c>
      <c r="D43" s="10" t="n">
        <v>3.003071317981971</v>
      </c>
      <c r="E43" s="10" t="n">
        <v>8</v>
      </c>
      <c r="F43" s="10" t="n">
        <v>10</v>
      </c>
      <c r="G43" s="12">
        <f>IF($A43="","",B43)</f>
        <v/>
      </c>
      <c r="H43" s="12">
        <f>IF($A43="","",F43)</f>
        <v/>
      </c>
      <c r="I43" s="11">
        <f>IF($A43="","",IFERROR(C43/B43,0))</f>
        <v/>
      </c>
      <c r="J43" s="12">
        <f>IF($A43="","",B43)</f>
        <v/>
      </c>
      <c r="K43" s="14">
        <f>IF($A43="","",IFERROR(B43/Social!B43,0))</f>
        <v/>
      </c>
      <c r="L43" s="11">
        <f>IF($A43="","",IFERROR(E43/F43,0))</f>
        <v/>
      </c>
    </row>
    <row r="44" ht="22" customHeight="1">
      <c r="A44" s="9" t="n">
        <v>46321</v>
      </c>
      <c r="B44" s="10" t="n">
        <v>172</v>
      </c>
      <c r="C44" s="10" t="n">
        <v>198</v>
      </c>
      <c r="D44" s="10" t="n">
        <v>3.468870953449009</v>
      </c>
      <c r="E44" s="10" t="n">
        <v>10</v>
      </c>
      <c r="F44" s="10" t="n">
        <v>12</v>
      </c>
      <c r="G44" s="12">
        <f>IF($A44="","",B44)</f>
        <v/>
      </c>
      <c r="H44" s="12">
        <f>IF($A44="","",F44)</f>
        <v/>
      </c>
      <c r="I44" s="11">
        <f>IF($A44="","",IFERROR(C44/B44,0))</f>
        <v/>
      </c>
      <c r="J44" s="12">
        <f>IF($A44="","",B44)</f>
        <v/>
      </c>
      <c r="K44" s="14">
        <f>IF($A44="","",IFERROR(B44/Social!B44,0))</f>
        <v/>
      </c>
      <c r="L44" s="11">
        <f>IF($A44="","",IFERROR(E44/F44,0))</f>
        <v/>
      </c>
    </row>
    <row r="45" ht="22" customHeight="1">
      <c r="A45" s="9" t="n">
        <v>46328</v>
      </c>
      <c r="B45" s="10" t="n">
        <v>172</v>
      </c>
      <c r="C45" s="10" t="n">
        <v>205</v>
      </c>
      <c r="D45" s="10" t="n">
        <v>1.160415910031669</v>
      </c>
      <c r="E45" s="10" t="n">
        <v>7</v>
      </c>
      <c r="F45" s="10" t="n">
        <v>9</v>
      </c>
      <c r="G45" s="12">
        <f>IF($A45="","",B45)</f>
        <v/>
      </c>
      <c r="H45" s="12">
        <f>IF($A45="","",F45)</f>
        <v/>
      </c>
      <c r="I45" s="11">
        <f>IF($A45="","",IFERROR(C45/B45,0))</f>
        <v/>
      </c>
      <c r="J45" s="12">
        <f>IF($A45="","",B45)</f>
        <v/>
      </c>
      <c r="K45" s="14">
        <f>IF($A45="","",IFERROR(B45/Social!B45,0))</f>
        <v/>
      </c>
      <c r="L45" s="11">
        <f>IF($A45="","",IFERROR(E45/F45,0))</f>
        <v/>
      </c>
    </row>
    <row r="46" ht="22" customHeight="1">
      <c r="A46" s="9" t="n">
        <v>46335</v>
      </c>
      <c r="B46" s="10" t="n">
        <v>191</v>
      </c>
      <c r="C46" s="10" t="n">
        <v>218</v>
      </c>
      <c r="D46" s="10" t="n">
        <v>1.872073423436189</v>
      </c>
      <c r="E46" s="10" t="n">
        <v>7</v>
      </c>
      <c r="F46" s="10" t="n">
        <v>11</v>
      </c>
      <c r="G46" s="12">
        <f>IF($A46="","",B46)</f>
        <v/>
      </c>
      <c r="H46" s="12">
        <f>IF($A46="","",F46)</f>
        <v/>
      </c>
      <c r="I46" s="11">
        <f>IF($A46="","",IFERROR(C46/B46,0))</f>
        <v/>
      </c>
      <c r="J46" s="12">
        <f>IF($A46="","",B46)</f>
        <v/>
      </c>
      <c r="K46" s="14">
        <f>IF($A46="","",IFERROR(B46/Social!B46,0))</f>
        <v/>
      </c>
      <c r="L46" s="11">
        <f>IF($A46="","",IFERROR(E46/F46,0))</f>
        <v/>
      </c>
    </row>
    <row r="47" ht="22" customHeight="1">
      <c r="A47" s="9" t="n">
        <v>46342</v>
      </c>
      <c r="B47" s="10" t="n">
        <v>187</v>
      </c>
      <c r="C47" s="10" t="n">
        <v>208</v>
      </c>
      <c r="D47" s="10" t="n">
        <v>2.938512342367394</v>
      </c>
      <c r="E47" s="10" t="n">
        <v>9</v>
      </c>
      <c r="F47" s="10" t="n">
        <v>10</v>
      </c>
      <c r="G47" s="12">
        <f>IF($A47="","",B47)</f>
        <v/>
      </c>
      <c r="H47" s="12">
        <f>IF($A47="","",F47)</f>
        <v/>
      </c>
      <c r="I47" s="11">
        <f>IF($A47="","",IFERROR(C47/B47,0))</f>
        <v/>
      </c>
      <c r="J47" s="12">
        <f>IF($A47="","",B47)</f>
        <v/>
      </c>
      <c r="K47" s="14">
        <f>IF($A47="","",IFERROR(B47/Social!B47,0))</f>
        <v/>
      </c>
      <c r="L47" s="11">
        <f>IF($A47="","",IFERROR(E47/F47,0))</f>
        <v/>
      </c>
    </row>
    <row r="48" ht="22" customHeight="1">
      <c r="A48" s="9" t="n">
        <v>46349</v>
      </c>
      <c r="B48" s="10" t="n">
        <v>192</v>
      </c>
      <c r="C48" s="10" t="n">
        <v>216</v>
      </c>
      <c r="D48" s="10" t="n">
        <v>3.994207118040915</v>
      </c>
      <c r="E48" s="10" t="n">
        <v>10</v>
      </c>
      <c r="F48" s="10" t="n">
        <v>15</v>
      </c>
      <c r="G48" s="12">
        <f>IF($A48="","",B48)</f>
        <v/>
      </c>
      <c r="H48" s="12">
        <f>IF($A48="","",F48)</f>
        <v/>
      </c>
      <c r="I48" s="11">
        <f>IF($A48="","",IFERROR(C48/B48,0))</f>
        <v/>
      </c>
      <c r="J48" s="12">
        <f>IF($A48="","",B48)</f>
        <v/>
      </c>
      <c r="K48" s="14">
        <f>IF($A48="","",IFERROR(B48/Social!B48,0))</f>
        <v/>
      </c>
      <c r="L48" s="11">
        <f>IF($A48="","",IFERROR(E48/F48,0))</f>
        <v/>
      </c>
    </row>
    <row r="49" ht="22" customHeight="1">
      <c r="A49" s="9" t="n">
        <v>46356</v>
      </c>
      <c r="B49" s="10" t="n">
        <v>183</v>
      </c>
      <c r="C49" s="10" t="n">
        <v>220</v>
      </c>
      <c r="D49" s="10" t="n">
        <v>2.565652048144409</v>
      </c>
      <c r="E49" s="10" t="n">
        <v>5</v>
      </c>
      <c r="F49" s="10" t="n">
        <v>7</v>
      </c>
      <c r="G49" s="12">
        <f>IF($A49="","",B49)</f>
        <v/>
      </c>
      <c r="H49" s="12">
        <f>IF($A49="","",F49)</f>
        <v/>
      </c>
      <c r="I49" s="11">
        <f>IF($A49="","",IFERROR(C49/B49,0))</f>
        <v/>
      </c>
      <c r="J49" s="12">
        <f>IF($A49="","",B49)</f>
        <v/>
      </c>
      <c r="K49" s="14">
        <f>IF($A49="","",IFERROR(B49/Social!B49,0))</f>
        <v/>
      </c>
      <c r="L49" s="11">
        <f>IF($A49="","",IFERROR(E49/F49,0))</f>
        <v/>
      </c>
    </row>
    <row r="50" ht="22" customHeight="1">
      <c r="A50" s="9" t="n">
        <v>46363</v>
      </c>
      <c r="B50" s="10" t="n">
        <v>197</v>
      </c>
      <c r="C50" s="10" t="n">
        <v>221</v>
      </c>
      <c r="D50" s="10" t="n">
        <v>2.323634521504191</v>
      </c>
      <c r="E50" s="10" t="n">
        <v>24</v>
      </c>
      <c r="F50" s="10" t="n">
        <v>26</v>
      </c>
      <c r="G50" s="12">
        <f>IF($A50="","",B50)</f>
        <v/>
      </c>
      <c r="H50" s="12">
        <f>IF($A50="","",F50)</f>
        <v/>
      </c>
      <c r="I50" s="11">
        <f>IF($A50="","",IFERROR(C50/B50,0))</f>
        <v/>
      </c>
      <c r="J50" s="12">
        <f>IF($A50="","",B50)</f>
        <v/>
      </c>
      <c r="K50" s="14">
        <f>IF($A50="","",IFERROR(B50/Social!B50,0))</f>
        <v/>
      </c>
      <c r="L50" s="11">
        <f>IF($A50="","",IFERROR(E50/F50,0))</f>
        <v/>
      </c>
    </row>
    <row r="51" ht="22" customHeight="1">
      <c r="A51" s="9" t="n">
        <v>46370</v>
      </c>
      <c r="B51" s="10" t="n">
        <v>203</v>
      </c>
      <c r="C51" s="10" t="n">
        <v>220</v>
      </c>
      <c r="D51" s="10" t="n">
        <v>3.736426908060466</v>
      </c>
      <c r="E51" s="10" t="n">
        <v>20</v>
      </c>
      <c r="F51" s="10" t="n">
        <v>23</v>
      </c>
      <c r="G51" s="12">
        <f>IF($A51="","",B51)</f>
        <v/>
      </c>
      <c r="H51" s="12">
        <f>IF($A51="","",F51)</f>
        <v/>
      </c>
      <c r="I51" s="11">
        <f>IF($A51="","",IFERROR(C51/B51,0))</f>
        <v/>
      </c>
      <c r="J51" s="12">
        <f>IF($A51="","",B51)</f>
        <v/>
      </c>
      <c r="K51" s="14">
        <f>IF($A51="","",IFERROR(B51/Social!B51,0))</f>
        <v/>
      </c>
      <c r="L51" s="11">
        <f>IF($A51="","",IFERROR(E51/F51,0))</f>
        <v/>
      </c>
    </row>
    <row r="52" ht="22" customHeight="1">
      <c r="A52" s="9" t="n">
        <v>46377</v>
      </c>
      <c r="B52" s="10" t="n">
        <v>193</v>
      </c>
      <c r="C52" s="10" t="n">
        <v>212</v>
      </c>
      <c r="D52" s="10" t="n">
        <v>2.769884319210788</v>
      </c>
      <c r="E52" s="10" t="n">
        <v>5</v>
      </c>
      <c r="F52" s="10" t="n">
        <v>8</v>
      </c>
      <c r="G52" s="12">
        <f>IF($A52="","",B52)</f>
        <v/>
      </c>
      <c r="H52" s="12">
        <f>IF($A52="","",F52)</f>
        <v/>
      </c>
      <c r="I52" s="11">
        <f>IF($A52="","",IFERROR(C52/B52,0))</f>
        <v/>
      </c>
      <c r="J52" s="12">
        <f>IF($A52="","",B52)</f>
        <v/>
      </c>
      <c r="K52" s="14">
        <f>IF($A52="","",IFERROR(B52/Social!B52,0))</f>
        <v/>
      </c>
      <c r="L52" s="11">
        <f>IF($A52="","",IFERROR(E52/F52,0))</f>
        <v/>
      </c>
    </row>
    <row r="53" ht="22" customHeight="1">
      <c r="A53" s="9" t="n">
        <v>46384</v>
      </c>
      <c r="B53" s="10" t="n">
        <v>211</v>
      </c>
      <c r="C53" s="10" t="n">
        <v>220</v>
      </c>
      <c r="D53" s="10" t="n">
        <v>2.029065559388729</v>
      </c>
      <c r="E53" s="10" t="n">
        <v>20</v>
      </c>
      <c r="F53" s="10" t="n">
        <v>22</v>
      </c>
      <c r="G53" s="12">
        <f>IF($A53="","",B53)</f>
        <v/>
      </c>
      <c r="H53" s="12">
        <f>IF($A53="","",F53)</f>
        <v/>
      </c>
      <c r="I53" s="11">
        <f>IF($A53="","",IFERROR(C53/B53,0))</f>
        <v/>
      </c>
      <c r="J53" s="12">
        <f>IF($A53="","",B53)</f>
        <v/>
      </c>
      <c r="K53" s="14">
        <f>IF($A53="","",IFERROR(B53/Social!B53,0))</f>
        <v/>
      </c>
      <c r="L53" s="11">
        <f>IF($A53="","",IFERROR(E53/F53,0))</f>
        <v/>
      </c>
    </row>
    <row r="54" ht="22" customHeight="1">
      <c r="A54" s="9" t="n">
        <v>46391</v>
      </c>
      <c r="B54" s="10" t="n">
        <v>208</v>
      </c>
      <c r="C54" s="10" t="n">
        <v>219</v>
      </c>
      <c r="D54" s="10" t="n">
        <v>3.78326908852588</v>
      </c>
      <c r="E54" s="10" t="n">
        <v>18</v>
      </c>
      <c r="F54" s="10" t="n">
        <v>24</v>
      </c>
      <c r="G54" s="12">
        <f>IF($A54="","",B54)</f>
        <v/>
      </c>
      <c r="H54" s="12">
        <f>IF($A54="","",F54)</f>
        <v/>
      </c>
      <c r="I54" s="11">
        <f>IF($A54="","",IFERROR(C54/B54,0))</f>
        <v/>
      </c>
      <c r="J54" s="12">
        <f>IF($A54="","",B54)</f>
        <v/>
      </c>
      <c r="K54" s="14">
        <f>IF($A54="","",IFERROR(B54/Social!B54,0))</f>
        <v/>
      </c>
      <c r="L54" s="11">
        <f>IF($A54="","",IFERROR(E54/F54,0))</f>
        <v/>
      </c>
    </row>
    <row r="55" ht="22" customHeight="1">
      <c r="A55" s="9" t="n">
        <v>46398</v>
      </c>
      <c r="B55" s="10" t="n">
        <v>218</v>
      </c>
      <c r="C55" s="10" t="n">
        <v>228</v>
      </c>
      <c r="D55" s="10" t="n">
        <v>2.631876378829044</v>
      </c>
      <c r="E55" s="10" t="n">
        <v>12</v>
      </c>
      <c r="F55" s="10" t="n">
        <v>16</v>
      </c>
      <c r="G55" s="12">
        <f>IF($A55="","",B55)</f>
        <v/>
      </c>
      <c r="H55" s="12">
        <f>IF($A55="","",F55)</f>
        <v/>
      </c>
      <c r="I55" s="11">
        <f>IF($A55="","",IFERROR(C55/B55,0))</f>
        <v/>
      </c>
      <c r="J55" s="12">
        <f>IF($A55="","",B55)</f>
        <v/>
      </c>
      <c r="K55" s="14">
        <f>IF($A55="","",IFERROR(B55/Social!B55,0))</f>
        <v/>
      </c>
      <c r="L55" s="11">
        <f>IF($A55="","",IFERROR(E55/F55,0))</f>
        <v/>
      </c>
    </row>
    <row r="56" ht="22" customHeight="1">
      <c r="A56" s="9" t="n">
        <v>46405</v>
      </c>
      <c r="B56" s="10" t="n">
        <v>194</v>
      </c>
      <c r="C56" s="10" t="n">
        <v>207</v>
      </c>
      <c r="D56" s="10" t="n">
        <v>1.063450068785307</v>
      </c>
      <c r="E56" s="10" t="n">
        <v>15</v>
      </c>
      <c r="F56" s="10" t="n">
        <v>18</v>
      </c>
      <c r="G56" s="12">
        <f>IF($A56="","",B56)</f>
        <v/>
      </c>
      <c r="H56" s="12">
        <f>IF($A56="","",F56)</f>
        <v/>
      </c>
      <c r="I56" s="11">
        <f>IF($A56="","",IFERROR(C56/B56,0))</f>
        <v/>
      </c>
      <c r="J56" s="12">
        <f>IF($A56="","",B56)</f>
        <v/>
      </c>
      <c r="K56" s="14">
        <f>IF($A56="","",IFERROR(B56/Social!B56,0))</f>
        <v/>
      </c>
      <c r="L56" s="11">
        <f>IF($A56="","",IFERROR(E56/F56,0))</f>
        <v/>
      </c>
    </row>
    <row r="57" ht="22" customHeight="1">
      <c r="A57" s="9" t="n">
        <v>46412</v>
      </c>
      <c r="B57" s="10" t="n">
        <v>216</v>
      </c>
      <c r="C57" s="10" t="n">
        <v>226</v>
      </c>
      <c r="D57" s="10" t="n">
        <v>2.795091926450005</v>
      </c>
      <c r="E57" s="10" t="n">
        <v>23</v>
      </c>
      <c r="F57" s="10" t="n">
        <v>25</v>
      </c>
      <c r="G57" s="12">
        <f>IF($A57="","",B57)</f>
        <v/>
      </c>
      <c r="H57" s="12">
        <f>IF($A57="","",F57)</f>
        <v/>
      </c>
      <c r="I57" s="11">
        <f>IF($A57="","",IFERROR(C57/B57,0))</f>
        <v/>
      </c>
      <c r="J57" s="12">
        <f>IF($A57="","",B57)</f>
        <v/>
      </c>
      <c r="K57" s="14">
        <f>IF($A57="","",IFERROR(B57/Social!B57,0))</f>
        <v/>
      </c>
      <c r="L57" s="11">
        <f>IF($A57="","",IFERROR(E57/F57,0))</f>
        <v/>
      </c>
    </row>
    <row r="58" ht="22" customHeight="1">
      <c r="A58" s="9" t="n">
        <v>46419</v>
      </c>
      <c r="B58" s="10" t="n">
        <v>205</v>
      </c>
      <c r="C58" s="10" t="n">
        <v>221</v>
      </c>
      <c r="D58" s="10" t="n">
        <v>1.385710880819222</v>
      </c>
      <c r="E58" s="10" t="n">
        <v>18</v>
      </c>
      <c r="F58" s="10" t="n">
        <v>23</v>
      </c>
      <c r="G58" s="12">
        <f>IF($A58="","",B58)</f>
        <v/>
      </c>
      <c r="H58" s="12">
        <f>IF($A58="","",F58)</f>
        <v/>
      </c>
      <c r="I58" s="11">
        <f>IF($A58="","",IFERROR(C58/B58,0))</f>
        <v/>
      </c>
      <c r="J58" s="12">
        <f>IF($A58="","",B58)</f>
        <v/>
      </c>
      <c r="K58" s="14">
        <f>IF($A58="","",IFERROR(B58/Social!B58,0))</f>
        <v/>
      </c>
      <c r="L58" s="11">
        <f>IF($A58="","",IFERROR(E58/F58,0))</f>
        <v/>
      </c>
    </row>
    <row r="59" ht="22" customHeight="1">
      <c r="A59" s="9" t="n">
        <v>46426</v>
      </c>
      <c r="B59" s="10" t="n">
        <v>178</v>
      </c>
      <c r="C59" s="10" t="n">
        <v>212</v>
      </c>
      <c r="D59" s="10" t="n">
        <v>1.795279178688291</v>
      </c>
      <c r="E59" s="10" t="n">
        <v>19</v>
      </c>
      <c r="F59" s="10" t="n">
        <v>24</v>
      </c>
      <c r="G59" s="12">
        <f>IF($A59="","",B59)</f>
        <v/>
      </c>
      <c r="H59" s="12">
        <f>IF($A59="","",F59)</f>
        <v/>
      </c>
      <c r="I59" s="11">
        <f>IF($A59="","",IFERROR(C59/B59,0))</f>
        <v/>
      </c>
      <c r="J59" s="12">
        <f>IF($A59="","",B59)</f>
        <v/>
      </c>
      <c r="K59" s="14">
        <f>IF($A59="","",IFERROR(B59/Social!B59,0))</f>
        <v/>
      </c>
      <c r="L59" s="11">
        <f>IF($A59="","",IFERROR(E59/F59,0))</f>
        <v/>
      </c>
    </row>
    <row r="60" ht="22" customHeight="1">
      <c r="A60" s="9" t="n">
        <v>46433</v>
      </c>
      <c r="B60" s="10" t="n">
        <v>213</v>
      </c>
      <c r="C60" s="10" t="n">
        <v>222</v>
      </c>
      <c r="D60" s="10" t="n">
        <v>3.631116705648874</v>
      </c>
      <c r="E60" s="10" t="n">
        <v>23</v>
      </c>
      <c r="F60" s="10" t="n">
        <v>27</v>
      </c>
      <c r="G60" s="12">
        <f>IF($A60="","",B60)</f>
        <v/>
      </c>
      <c r="H60" s="12">
        <f>IF($A60="","",F60)</f>
        <v/>
      </c>
      <c r="I60" s="11">
        <f>IF($A60="","",IFERROR(C60/B60,0))</f>
        <v/>
      </c>
      <c r="J60" s="12">
        <f>IF($A60="","",B60)</f>
        <v/>
      </c>
      <c r="K60" s="14">
        <f>IF($A60="","",IFERROR(B60/Social!B60,0))</f>
        <v/>
      </c>
      <c r="L60" s="11">
        <f>IF($A60="","",IFERROR(E60/F60,0))</f>
        <v/>
      </c>
    </row>
    <row r="61" ht="22" customHeight="1">
      <c r="A61" s="9" t="n">
        <v>46440</v>
      </c>
      <c r="B61" s="10" t="n">
        <v>213</v>
      </c>
      <c r="C61" s="10" t="n">
        <v>223</v>
      </c>
      <c r="D61" s="10" t="n">
        <v>1.277414277275248</v>
      </c>
      <c r="E61" s="10" t="n">
        <v>18</v>
      </c>
      <c r="F61" s="10" t="n">
        <v>25</v>
      </c>
      <c r="G61" s="12">
        <f>IF($A61="","",B61)</f>
        <v/>
      </c>
      <c r="H61" s="12">
        <f>IF($A61="","",F61)</f>
        <v/>
      </c>
      <c r="I61" s="11">
        <f>IF($A61="","",IFERROR(C61/B61,0))</f>
        <v/>
      </c>
      <c r="J61" s="12">
        <f>IF($A61="","",B61)</f>
        <v/>
      </c>
      <c r="K61" s="14">
        <f>IF($A61="","",IFERROR(B61/Social!B61,0))</f>
        <v/>
      </c>
      <c r="L61" s="11">
        <f>IF($A61="","",IFERROR(E61/F61,0))</f>
        <v/>
      </c>
    </row>
    <row r="62" ht="22" customHeight="1">
      <c r="A62" s="9" t="n">
        <v>46447</v>
      </c>
      <c r="B62" s="10" t="n">
        <v>206</v>
      </c>
      <c r="C62" s="10" t="n">
        <v>227</v>
      </c>
      <c r="D62" s="10" t="n">
        <v>1.631616699671329</v>
      </c>
      <c r="E62" s="10" t="n">
        <v>25</v>
      </c>
      <c r="F62" s="10" t="n">
        <v>32</v>
      </c>
      <c r="G62" s="12">
        <f>IF($A62="","",B62)</f>
        <v/>
      </c>
      <c r="H62" s="12">
        <f>IF($A62="","",F62)</f>
        <v/>
      </c>
      <c r="I62" s="11">
        <f>IF($A62="","",IFERROR(C62/B62,0))</f>
        <v/>
      </c>
      <c r="J62" s="12">
        <f>IF($A62="","",B62)</f>
        <v/>
      </c>
      <c r="K62" s="14">
        <f>IF($A62="","",IFERROR(B62/Social!B62,0))</f>
        <v/>
      </c>
      <c r="L62" s="11">
        <f>IF($A62="","",IFERROR(E62/F62,0))</f>
        <v/>
      </c>
    </row>
    <row r="63" ht="22" customHeight="1">
      <c r="A63" s="9" t="n">
        <v>46454</v>
      </c>
      <c r="B63" s="10" t="n">
        <v>185</v>
      </c>
      <c r="C63" s="10" t="n">
        <v>215</v>
      </c>
      <c r="D63" s="10" t="n">
        <v>3.19025272101738</v>
      </c>
      <c r="E63" s="10" t="n">
        <v>23</v>
      </c>
      <c r="F63" s="10" t="n">
        <v>25</v>
      </c>
      <c r="G63" s="12">
        <f>IF($A63="","",B63)</f>
        <v/>
      </c>
      <c r="H63" s="12">
        <f>IF($A63="","",F63)</f>
        <v/>
      </c>
      <c r="I63" s="11">
        <f>IF($A63="","",IFERROR(C63/B63,0))</f>
        <v/>
      </c>
      <c r="J63" s="12">
        <f>IF($A63="","",B63)</f>
        <v/>
      </c>
      <c r="K63" s="14">
        <f>IF($A63="","",IFERROR(B63/Social!B63,0))</f>
        <v/>
      </c>
      <c r="L63" s="11">
        <f>IF($A63="","",IFERROR(E63/F63,0))</f>
        <v/>
      </c>
    </row>
    <row r="64" ht="22" customHeight="1">
      <c r="A64" s="9" t="n">
        <v>46461</v>
      </c>
      <c r="B64" s="10" t="n">
        <v>194</v>
      </c>
      <c r="C64" s="10" t="n">
        <v>221</v>
      </c>
      <c r="D64" s="10" t="n">
        <v>2.461121852252402</v>
      </c>
      <c r="E64" s="10" t="n">
        <v>26</v>
      </c>
      <c r="F64" s="10" t="n">
        <v>32</v>
      </c>
      <c r="G64" s="12">
        <f>IF($A64="","",B64)</f>
        <v/>
      </c>
      <c r="H64" s="12">
        <f>IF($A64="","",F64)</f>
        <v/>
      </c>
      <c r="I64" s="11">
        <f>IF($A64="","",IFERROR(C64/B64,0))</f>
        <v/>
      </c>
      <c r="J64" s="12">
        <f>IF($A64="","",B64)</f>
        <v/>
      </c>
      <c r="K64" s="14">
        <f>IF($A64="","",IFERROR(B64/Social!B64,0))</f>
        <v/>
      </c>
      <c r="L64" s="11">
        <f>IF($A64="","",IFERROR(E64/F64,0))</f>
        <v/>
      </c>
    </row>
    <row r="65" ht="22" customHeight="1">
      <c r="A65" s="9" t="n">
        <v>46468</v>
      </c>
      <c r="B65" s="10" t="n">
        <v>220</v>
      </c>
      <c r="C65" s="10" t="n">
        <v>237</v>
      </c>
      <c r="D65" s="10" t="n">
        <v>4.207879847566625</v>
      </c>
      <c r="E65" s="10" t="n">
        <v>24</v>
      </c>
      <c r="F65" s="10" t="n">
        <v>31</v>
      </c>
      <c r="G65" s="12">
        <f>IF($A65="","",B65)</f>
        <v/>
      </c>
      <c r="H65" s="12">
        <f>IF($A65="","",F65)</f>
        <v/>
      </c>
      <c r="I65" s="11">
        <f>IF($A65="","",IFERROR(C65/B65,0))</f>
        <v/>
      </c>
      <c r="J65" s="12">
        <f>IF($A65="","",B65)</f>
        <v/>
      </c>
      <c r="K65" s="14">
        <f>IF($A65="","",IFERROR(B65/Social!B65,0))</f>
        <v/>
      </c>
      <c r="L65" s="11">
        <f>IF($A65="","",IFERROR(E65/F65,0))</f>
        <v/>
      </c>
    </row>
    <row r="66" ht="22" customHeight="1">
      <c r="A66" s="9" t="n">
        <v>46475</v>
      </c>
      <c r="B66" s="10" t="n">
        <v>210</v>
      </c>
      <c r="C66" s="10" t="n">
        <v>235</v>
      </c>
      <c r="D66" s="10" t="n">
        <v>3.128209179891219</v>
      </c>
      <c r="E66" s="10" t="n">
        <v>15</v>
      </c>
      <c r="F66" s="10" t="n">
        <v>20</v>
      </c>
      <c r="G66" s="12">
        <f>IF($A66="","",B66)</f>
        <v/>
      </c>
      <c r="H66" s="12">
        <f>IF($A66="","",F66)</f>
        <v/>
      </c>
      <c r="I66" s="11">
        <f>IF($A66="","",IFERROR(C66/B66,0))</f>
        <v/>
      </c>
      <c r="J66" s="12">
        <f>IF($A66="","",B66)</f>
        <v/>
      </c>
      <c r="K66" s="14">
        <f>IF($A66="","",IFERROR(B66/Social!B66,0))</f>
        <v/>
      </c>
      <c r="L66" s="11">
        <f>IF($A66="","",IFERROR(E66/F66,0))</f>
        <v/>
      </c>
    </row>
    <row r="67" ht="22" customHeight="1">
      <c r="A67" s="9" t="n">
        <v>46482</v>
      </c>
      <c r="B67" s="10" t="n">
        <v>196</v>
      </c>
      <c r="C67" s="10" t="n">
        <v>226</v>
      </c>
      <c r="D67" s="10" t="n">
        <v>2.895182246423797</v>
      </c>
      <c r="E67" s="10" t="n">
        <v>14</v>
      </c>
      <c r="F67" s="10" t="n">
        <v>20</v>
      </c>
      <c r="G67" s="12">
        <f>IF($A67="","",B67)</f>
        <v/>
      </c>
      <c r="H67" s="12">
        <f>IF($A67="","",F67)</f>
        <v/>
      </c>
      <c r="I67" s="11">
        <f>IF($A67="","",IFERROR(C67/B67,0))</f>
        <v/>
      </c>
      <c r="J67" s="12">
        <f>IF($A67="","",B67)</f>
        <v/>
      </c>
      <c r="K67" s="14">
        <f>IF($A67="","",IFERROR(B67/Social!B67,0))</f>
        <v/>
      </c>
      <c r="L67" s="11">
        <f>IF($A67="","",IFERROR(E67/F67,0))</f>
        <v/>
      </c>
    </row>
    <row r="68" ht="22" customHeight="1">
      <c r="A68" s="9" t="n">
        <v>46489</v>
      </c>
      <c r="B68" s="10" t="n">
        <v>197</v>
      </c>
      <c r="C68" s="10" t="n">
        <v>228</v>
      </c>
      <c r="D68" s="10" t="n">
        <v>2.857271194679159</v>
      </c>
      <c r="E68" s="10" t="n">
        <v>23</v>
      </c>
      <c r="F68" s="10" t="n">
        <v>32</v>
      </c>
      <c r="G68" s="12">
        <f>IF($A68="","",B68)</f>
        <v/>
      </c>
      <c r="H68" s="12">
        <f>IF($A68="","",F68)</f>
        <v/>
      </c>
      <c r="I68" s="11">
        <f>IF($A68="","",IFERROR(C68/B68,0))</f>
        <v/>
      </c>
      <c r="J68" s="12">
        <f>IF($A68="","",B68)</f>
        <v/>
      </c>
      <c r="K68" s="14">
        <f>IF($A68="","",IFERROR(B68/Social!B68,0))</f>
        <v/>
      </c>
      <c r="L68" s="11">
        <f>IF($A68="","",IFERROR(E68/F68,0))</f>
        <v/>
      </c>
    </row>
    <row r="69" ht="22" customHeight="1">
      <c r="A69" s="9" t="n">
        <v>46496</v>
      </c>
      <c r="B69" s="10" t="n">
        <v>197</v>
      </c>
      <c r="C69" s="10" t="n">
        <v>233</v>
      </c>
      <c r="D69" s="10" t="n">
        <v>1.30211182964263</v>
      </c>
      <c r="E69" s="10" t="n">
        <v>25</v>
      </c>
      <c r="F69" s="10" t="n">
        <v>28</v>
      </c>
      <c r="G69" s="12">
        <f>IF($A69="","",B69)</f>
        <v/>
      </c>
      <c r="H69" s="12">
        <f>IF($A69="","",F69)</f>
        <v/>
      </c>
      <c r="I69" s="11">
        <f>IF($A69="","",IFERROR(C69/B69,0))</f>
        <v/>
      </c>
      <c r="J69" s="12">
        <f>IF($A69="","",B69)</f>
        <v/>
      </c>
      <c r="K69" s="14">
        <f>IF($A69="","",IFERROR(B69/Social!B69,0))</f>
        <v/>
      </c>
      <c r="L69" s="11">
        <f>IF($A69="","",IFERROR(E69/F69,0))</f>
        <v/>
      </c>
    </row>
    <row r="70" ht="22" customHeight="1">
      <c r="A70" s="9" t="n">
        <v>46503</v>
      </c>
      <c r="B70" s="10" t="n">
        <v>200</v>
      </c>
      <c r="C70" s="10" t="n">
        <v>239</v>
      </c>
      <c r="D70" s="10" t="n">
        <v>2.187198222031938</v>
      </c>
      <c r="E70" s="10" t="n">
        <v>20</v>
      </c>
      <c r="F70" s="10" t="n">
        <v>23</v>
      </c>
      <c r="G70" s="12">
        <f>IF($A70="","",B70)</f>
        <v/>
      </c>
      <c r="H70" s="12">
        <f>IF($A70="","",F70)</f>
        <v/>
      </c>
      <c r="I70" s="11">
        <f>IF($A70="","",IFERROR(C70/B70,0))</f>
        <v/>
      </c>
      <c r="J70" s="12">
        <f>IF($A70="","",B70)</f>
        <v/>
      </c>
      <c r="K70" s="14">
        <f>IF($A70="","",IFERROR(B70/Social!B70,0))</f>
        <v/>
      </c>
      <c r="L70" s="11">
        <f>IF($A70="","",IFERROR(E70/F70,0))</f>
        <v/>
      </c>
    </row>
    <row r="71" ht="22" customHeight="1">
      <c r="A71" s="9" t="n">
        <v>46510</v>
      </c>
      <c r="B71" s="10" t="n">
        <v>182</v>
      </c>
      <c r="C71" s="10" t="n">
        <v>227</v>
      </c>
      <c r="D71" s="10" t="n">
        <v>1.746586412069121</v>
      </c>
      <c r="E71" s="10" t="n">
        <v>15</v>
      </c>
      <c r="F71" s="10" t="n">
        <v>23</v>
      </c>
      <c r="G71" s="12">
        <f>IF($A71="","",B71)</f>
        <v/>
      </c>
      <c r="H71" s="12">
        <f>IF($A71="","",F71)</f>
        <v/>
      </c>
      <c r="I71" s="11">
        <f>IF($A71="","",IFERROR(C71/B71,0))</f>
        <v/>
      </c>
      <c r="J71" s="12">
        <f>IF($A71="","",B71)</f>
        <v/>
      </c>
      <c r="K71" s="14">
        <f>IF($A71="","",IFERROR(B71/Social!B71,0))</f>
        <v/>
      </c>
      <c r="L71" s="11">
        <f>IF($A71="","",IFERROR(E71/F71,0))</f>
        <v/>
      </c>
    </row>
    <row r="72" ht="22" customHeight="1">
      <c r="A72" s="9" t="n"/>
      <c r="B72" s="10" t="n"/>
      <c r="C72" s="10" t="n"/>
      <c r="D72" s="10" t="n"/>
      <c r="E72" s="10" t="n"/>
      <c r="F72" s="10" t="n"/>
      <c r="G72" s="12">
        <f>IF($A72="","",B72)</f>
        <v/>
      </c>
      <c r="H72" s="12">
        <f>IF($A72="","",F72)</f>
        <v/>
      </c>
      <c r="I72" s="11">
        <f>IF($A72="","",IFERROR(C72/B72,0))</f>
        <v/>
      </c>
      <c r="J72" s="12">
        <f>IF($A72="","",B72)</f>
        <v/>
      </c>
      <c r="K72" s="14">
        <f>IF($A72="","",IFERROR(B72/Social!B72,0))</f>
        <v/>
      </c>
      <c r="L72" s="11">
        <f>IF($A72="","",IFERROR(E72/F72,0))</f>
        <v/>
      </c>
    </row>
    <row r="73" ht="22" customHeight="1">
      <c r="A73" s="9" t="n"/>
      <c r="B73" s="10" t="n"/>
      <c r="C73" s="10" t="n"/>
      <c r="D73" s="10" t="n"/>
      <c r="E73" s="10" t="n"/>
      <c r="F73" s="10" t="n"/>
      <c r="G73" s="12">
        <f>IF($A73="","",B73)</f>
        <v/>
      </c>
      <c r="H73" s="12">
        <f>IF($A73="","",F73)</f>
        <v/>
      </c>
      <c r="I73" s="11">
        <f>IF($A73="","",IFERROR(C73/B73,0))</f>
        <v/>
      </c>
      <c r="J73" s="12">
        <f>IF($A73="","",B73)</f>
        <v/>
      </c>
      <c r="K73" s="14">
        <f>IF($A73="","",IFERROR(B73/Social!B73,0))</f>
        <v/>
      </c>
      <c r="L73" s="11">
        <f>IF($A73="","",IFERROR(E73/F73,0))</f>
        <v/>
      </c>
    </row>
    <row r="74" ht="22" customHeight="1">
      <c r="A74" s="9" t="n"/>
      <c r="B74" s="10" t="n"/>
      <c r="C74" s="10" t="n"/>
      <c r="D74" s="10" t="n"/>
      <c r="E74" s="10" t="n"/>
      <c r="F74" s="10" t="n"/>
      <c r="G74" s="12">
        <f>IF($A74="","",B74)</f>
        <v/>
      </c>
      <c r="H74" s="12">
        <f>IF($A74="","",F74)</f>
        <v/>
      </c>
      <c r="I74" s="11">
        <f>IF($A74="","",IFERROR(C74/B74,0))</f>
        <v/>
      </c>
      <c r="J74" s="12">
        <f>IF($A74="","",B74)</f>
        <v/>
      </c>
      <c r="K74" s="14">
        <f>IF($A74="","",IFERROR(B74/Social!B74,0))</f>
        <v/>
      </c>
      <c r="L74" s="11">
        <f>IF($A74="","",IFERROR(E74/F74,0))</f>
        <v/>
      </c>
    </row>
    <row r="75" ht="22" customHeight="1">
      <c r="A75" s="9" t="n"/>
      <c r="B75" s="10" t="n"/>
      <c r="C75" s="10" t="n"/>
      <c r="D75" s="10" t="n"/>
      <c r="E75" s="10" t="n"/>
      <c r="F75" s="10" t="n"/>
      <c r="G75" s="12">
        <f>IF($A75="","",B75)</f>
        <v/>
      </c>
      <c r="H75" s="12">
        <f>IF($A75="","",F75)</f>
        <v/>
      </c>
      <c r="I75" s="11">
        <f>IF($A75="","",IFERROR(C75/B75,0))</f>
        <v/>
      </c>
      <c r="J75" s="12">
        <f>IF($A75="","",B75)</f>
        <v/>
      </c>
      <c r="K75" s="14">
        <f>IF($A75="","",IFERROR(B75/Social!B75,0))</f>
        <v/>
      </c>
      <c r="L75" s="11">
        <f>IF($A75="","",IFERROR(E75/F75,0))</f>
        <v/>
      </c>
    </row>
    <row r="76" ht="22" customHeight="1">
      <c r="A76" s="9" t="n"/>
      <c r="B76" s="10" t="n"/>
      <c r="C76" s="10" t="n"/>
      <c r="D76" s="10" t="n"/>
      <c r="E76" s="10" t="n"/>
      <c r="F76" s="10" t="n"/>
      <c r="G76" s="12">
        <f>IF($A76="","",B76)</f>
        <v/>
      </c>
      <c r="H76" s="12">
        <f>IF($A76="","",F76)</f>
        <v/>
      </c>
      <c r="I76" s="11">
        <f>IF($A76="","",IFERROR(C76/B76,0))</f>
        <v/>
      </c>
      <c r="J76" s="12">
        <f>IF($A76="","",B76)</f>
        <v/>
      </c>
      <c r="K76" s="14">
        <f>IF($A76="","",IFERROR(B76/Social!B76,0))</f>
        <v/>
      </c>
      <c r="L76" s="11">
        <f>IF($A76="","",IFERROR(E76/F76,0))</f>
        <v/>
      </c>
    </row>
    <row r="77" ht="22" customHeight="1">
      <c r="A77" s="9" t="n"/>
      <c r="B77" s="10" t="n"/>
      <c r="C77" s="10" t="n"/>
      <c r="D77" s="10" t="n"/>
      <c r="E77" s="10" t="n"/>
      <c r="F77" s="10" t="n"/>
      <c r="G77" s="12">
        <f>IF($A77="","",B77)</f>
        <v/>
      </c>
      <c r="H77" s="12">
        <f>IF($A77="","",F77)</f>
        <v/>
      </c>
      <c r="I77" s="11">
        <f>IF($A77="","",IFERROR(C77/B77,0))</f>
        <v/>
      </c>
      <c r="J77" s="12">
        <f>IF($A77="","",B77)</f>
        <v/>
      </c>
      <c r="K77" s="14">
        <f>IF($A77="","",IFERROR(B77/Social!B77,0))</f>
        <v/>
      </c>
      <c r="L77" s="11">
        <f>IF($A77="","",IFERROR(E77/F77,0))</f>
        <v/>
      </c>
    </row>
    <row r="78" ht="22" customHeight="1">
      <c r="A78" s="9" t="n"/>
      <c r="B78" s="10" t="n"/>
      <c r="C78" s="10" t="n"/>
      <c r="D78" s="10" t="n"/>
      <c r="E78" s="10" t="n"/>
      <c r="F78" s="10" t="n"/>
      <c r="G78" s="12">
        <f>IF($A78="","",B78)</f>
        <v/>
      </c>
      <c r="H78" s="12">
        <f>IF($A78="","",F78)</f>
        <v/>
      </c>
      <c r="I78" s="11">
        <f>IF($A78="","",IFERROR(C78/B78,0))</f>
        <v/>
      </c>
      <c r="J78" s="12">
        <f>IF($A78="","",B78)</f>
        <v/>
      </c>
      <c r="K78" s="14">
        <f>IF($A78="","",IFERROR(B78/Social!B78,0))</f>
        <v/>
      </c>
      <c r="L78" s="11">
        <f>IF($A78="","",IFERROR(E78/F78,0))</f>
        <v/>
      </c>
    </row>
    <row r="79" ht="22" customHeight="1">
      <c r="A79" s="9" t="n"/>
      <c r="B79" s="10" t="n"/>
      <c r="C79" s="10" t="n"/>
      <c r="D79" s="10" t="n"/>
      <c r="E79" s="10" t="n"/>
      <c r="F79" s="10" t="n"/>
      <c r="G79" s="12">
        <f>IF($A79="","",B79)</f>
        <v/>
      </c>
      <c r="H79" s="12">
        <f>IF($A79="","",F79)</f>
        <v/>
      </c>
      <c r="I79" s="11">
        <f>IF($A79="","",IFERROR(C79/B79,0))</f>
        <v/>
      </c>
      <c r="J79" s="12">
        <f>IF($A79="","",B79)</f>
        <v/>
      </c>
      <c r="K79" s="14">
        <f>IF($A79="","",IFERROR(B79/Social!B79,0))</f>
        <v/>
      </c>
      <c r="L79" s="11">
        <f>IF($A79="","",IFERROR(E79/F79,0))</f>
        <v/>
      </c>
    </row>
    <row r="80" ht="22" customHeight="1">
      <c r="A80" s="9" t="n"/>
      <c r="B80" s="10" t="n"/>
      <c r="C80" s="10" t="n"/>
      <c r="D80" s="10" t="n"/>
      <c r="E80" s="10" t="n"/>
      <c r="F80" s="10" t="n"/>
      <c r="G80" s="12">
        <f>IF($A80="","",B80)</f>
        <v/>
      </c>
      <c r="H80" s="12">
        <f>IF($A80="","",F80)</f>
        <v/>
      </c>
      <c r="I80" s="11">
        <f>IF($A80="","",IFERROR(C80/B80,0))</f>
        <v/>
      </c>
      <c r="J80" s="12">
        <f>IF($A80="","",B80)</f>
        <v/>
      </c>
      <c r="K80" s="14">
        <f>IF($A80="","",IFERROR(B80/Social!B80,0))</f>
        <v/>
      </c>
      <c r="L80" s="11">
        <f>IF($A80="","",IFERROR(E80/F80,0))</f>
        <v/>
      </c>
    </row>
    <row r="81" ht="22" customHeight="1">
      <c r="A81" s="9" t="n"/>
      <c r="B81" s="10" t="n"/>
      <c r="C81" s="10" t="n"/>
      <c r="D81" s="10" t="n"/>
      <c r="E81" s="10" t="n"/>
      <c r="F81" s="10" t="n"/>
      <c r="G81" s="12">
        <f>IF($A81="","",B81)</f>
        <v/>
      </c>
      <c r="H81" s="12">
        <f>IF($A81="","",F81)</f>
        <v/>
      </c>
      <c r="I81" s="11">
        <f>IF($A81="","",IFERROR(C81/B81,0))</f>
        <v/>
      </c>
      <c r="J81" s="12">
        <f>IF($A81="","",B81)</f>
        <v/>
      </c>
      <c r="K81" s="14">
        <f>IF($A81="","",IFERROR(B81/Social!B81,0))</f>
        <v/>
      </c>
      <c r="L81" s="11">
        <f>IF($A81="","",IFERROR(E81/F81,0))</f>
        <v/>
      </c>
    </row>
    <row r="82" ht="22" customHeight="1">
      <c r="A82" s="9" t="n"/>
      <c r="B82" s="10" t="n"/>
      <c r="C82" s="10" t="n"/>
      <c r="D82" s="10" t="n"/>
      <c r="E82" s="10" t="n"/>
      <c r="F82" s="10" t="n"/>
      <c r="G82" s="12">
        <f>IF($A82="","",B82)</f>
        <v/>
      </c>
      <c r="H82" s="12">
        <f>IF($A82="","",F82)</f>
        <v/>
      </c>
      <c r="I82" s="11">
        <f>IF($A82="","",IFERROR(C82/B82,0))</f>
        <v/>
      </c>
      <c r="J82" s="12">
        <f>IF($A82="","",B82)</f>
        <v/>
      </c>
      <c r="K82" s="14">
        <f>IF($A82="","",IFERROR(B82/Social!B82,0))</f>
        <v/>
      </c>
      <c r="L82" s="11">
        <f>IF($A82="","",IFERROR(E82/F82,0))</f>
        <v/>
      </c>
    </row>
    <row r="83" ht="22" customHeight="1">
      <c r="A83" s="9" t="n"/>
      <c r="B83" s="10" t="n"/>
      <c r="C83" s="10" t="n"/>
      <c r="D83" s="10" t="n"/>
      <c r="E83" s="10" t="n"/>
      <c r="F83" s="10" t="n"/>
      <c r="G83" s="12">
        <f>IF($A83="","",B83)</f>
        <v/>
      </c>
      <c r="H83" s="12">
        <f>IF($A83="","",F83)</f>
        <v/>
      </c>
      <c r="I83" s="11">
        <f>IF($A83="","",IFERROR(C83/B83,0))</f>
        <v/>
      </c>
      <c r="J83" s="12">
        <f>IF($A83="","",B83)</f>
        <v/>
      </c>
      <c r="K83" s="14">
        <f>IF($A83="","",IFERROR(B83/Social!B83,0))</f>
        <v/>
      </c>
      <c r="L83" s="11">
        <f>IF($A83="","",IFERROR(E83/F83,0))</f>
        <v/>
      </c>
    </row>
    <row r="84" ht="22" customHeight="1">
      <c r="A84" s="9" t="n"/>
      <c r="B84" s="10" t="n"/>
      <c r="C84" s="10" t="n"/>
      <c r="D84" s="10" t="n"/>
      <c r="E84" s="10" t="n"/>
      <c r="F84" s="10" t="n"/>
      <c r="G84" s="12">
        <f>IF($A84="","",B84)</f>
        <v/>
      </c>
      <c r="H84" s="12">
        <f>IF($A84="","",F84)</f>
        <v/>
      </c>
      <c r="I84" s="11">
        <f>IF($A84="","",IFERROR(C84/B84,0))</f>
        <v/>
      </c>
      <c r="J84" s="12">
        <f>IF($A84="","",B84)</f>
        <v/>
      </c>
      <c r="K84" s="14">
        <f>IF($A84="","",IFERROR(B84/Social!B84,0))</f>
        <v/>
      </c>
      <c r="L84" s="11">
        <f>IF($A84="","",IFERROR(E84/F84,0))</f>
        <v/>
      </c>
    </row>
    <row r="85" ht="22" customHeight="1">
      <c r="A85" s="9" t="n"/>
      <c r="B85" s="10" t="n"/>
      <c r="C85" s="10" t="n"/>
      <c r="D85" s="10" t="n"/>
      <c r="E85" s="10" t="n"/>
      <c r="F85" s="10" t="n"/>
      <c r="G85" s="12">
        <f>IF($A85="","",B85)</f>
        <v/>
      </c>
      <c r="H85" s="12">
        <f>IF($A85="","",F85)</f>
        <v/>
      </c>
      <c r="I85" s="11">
        <f>IF($A85="","",IFERROR(C85/B85,0))</f>
        <v/>
      </c>
      <c r="J85" s="12">
        <f>IF($A85="","",B85)</f>
        <v/>
      </c>
      <c r="K85" s="14">
        <f>IF($A85="","",IFERROR(B85/Social!B85,0))</f>
        <v/>
      </c>
      <c r="L85" s="11">
        <f>IF($A85="","",IFERROR(E85/F85,0))</f>
        <v/>
      </c>
    </row>
    <row r="86" ht="22" customHeight="1">
      <c r="A86" s="9" t="n"/>
      <c r="B86" s="10" t="n"/>
      <c r="C86" s="10" t="n"/>
      <c r="D86" s="10" t="n"/>
      <c r="E86" s="10" t="n"/>
      <c r="F86" s="10" t="n"/>
      <c r="G86" s="12">
        <f>IF($A86="","",B86)</f>
        <v/>
      </c>
      <c r="H86" s="12">
        <f>IF($A86="","",F86)</f>
        <v/>
      </c>
      <c r="I86" s="11">
        <f>IF($A86="","",IFERROR(C86/B86,0))</f>
        <v/>
      </c>
      <c r="J86" s="12">
        <f>IF($A86="","",B86)</f>
        <v/>
      </c>
      <c r="K86" s="14">
        <f>IF($A86="","",IFERROR(B86/Social!B86,0))</f>
        <v/>
      </c>
      <c r="L86" s="11">
        <f>IF($A86="","",IFERROR(E86/F86,0))</f>
        <v/>
      </c>
    </row>
    <row r="87" ht="22" customHeight="1">
      <c r="A87" s="9" t="n"/>
      <c r="B87" s="10" t="n"/>
      <c r="C87" s="10" t="n"/>
      <c r="D87" s="10" t="n"/>
      <c r="E87" s="10" t="n"/>
      <c r="F87" s="10" t="n"/>
      <c r="G87" s="12">
        <f>IF($A87="","",B87)</f>
        <v/>
      </c>
      <c r="H87" s="12">
        <f>IF($A87="","",F87)</f>
        <v/>
      </c>
      <c r="I87" s="11">
        <f>IF($A87="","",IFERROR(C87/B87,0))</f>
        <v/>
      </c>
      <c r="J87" s="12">
        <f>IF($A87="","",B87)</f>
        <v/>
      </c>
      <c r="K87" s="14">
        <f>IF($A87="","",IFERROR(B87/Social!B87,0))</f>
        <v/>
      </c>
      <c r="L87" s="11">
        <f>IF($A87="","",IFERROR(E87/F87,0))</f>
        <v/>
      </c>
    </row>
    <row r="88" ht="22" customHeight="1">
      <c r="A88" s="9" t="n"/>
      <c r="B88" s="10" t="n"/>
      <c r="C88" s="10" t="n"/>
      <c r="D88" s="10" t="n"/>
      <c r="E88" s="10" t="n"/>
      <c r="F88" s="10" t="n"/>
      <c r="G88" s="12">
        <f>IF($A88="","",B88)</f>
        <v/>
      </c>
      <c r="H88" s="12">
        <f>IF($A88="","",F88)</f>
        <v/>
      </c>
      <c r="I88" s="11">
        <f>IF($A88="","",IFERROR(C88/B88,0))</f>
        <v/>
      </c>
      <c r="J88" s="12">
        <f>IF($A88="","",B88)</f>
        <v/>
      </c>
      <c r="K88" s="14">
        <f>IF($A88="","",IFERROR(B88/Social!B88,0))</f>
        <v/>
      </c>
      <c r="L88" s="11">
        <f>IF($A88="","",IFERROR(E88/F88,0))</f>
        <v/>
      </c>
    </row>
    <row r="89" ht="22" customHeight="1">
      <c r="A89" s="9" t="n"/>
      <c r="B89" s="10" t="n"/>
      <c r="C89" s="10" t="n"/>
      <c r="D89" s="10" t="n"/>
      <c r="E89" s="10" t="n"/>
      <c r="F89" s="10" t="n"/>
      <c r="G89" s="12">
        <f>IF($A89="","",B89)</f>
        <v/>
      </c>
      <c r="H89" s="12">
        <f>IF($A89="","",F89)</f>
        <v/>
      </c>
      <c r="I89" s="11">
        <f>IF($A89="","",IFERROR(C89/B89,0))</f>
        <v/>
      </c>
      <c r="J89" s="12">
        <f>IF($A89="","",B89)</f>
        <v/>
      </c>
      <c r="K89" s="14">
        <f>IF($A89="","",IFERROR(B89/Social!B89,0))</f>
        <v/>
      </c>
      <c r="L89" s="11">
        <f>IF($A89="","",IFERROR(E89/F89,0))</f>
        <v/>
      </c>
    </row>
    <row r="90" ht="22" customHeight="1">
      <c r="A90" s="9" t="n"/>
      <c r="B90" s="10" t="n"/>
      <c r="C90" s="10" t="n"/>
      <c r="D90" s="10" t="n"/>
      <c r="E90" s="10" t="n"/>
      <c r="F90" s="10" t="n"/>
      <c r="G90" s="12">
        <f>IF($A90="","",B90)</f>
        <v/>
      </c>
      <c r="H90" s="12">
        <f>IF($A90="","",F90)</f>
        <v/>
      </c>
      <c r="I90" s="11">
        <f>IF($A90="","",IFERROR(C90/B90,0))</f>
        <v/>
      </c>
      <c r="J90" s="12">
        <f>IF($A90="","",B90)</f>
        <v/>
      </c>
      <c r="K90" s="14">
        <f>IF($A90="","",IFERROR(B90/Social!B90,0))</f>
        <v/>
      </c>
      <c r="L90" s="11">
        <f>IF($A90="","",IFERROR(E90/F90,0))</f>
        <v/>
      </c>
    </row>
    <row r="91" ht="22" customHeight="1">
      <c r="A91" s="9" t="n"/>
      <c r="B91" s="10" t="n"/>
      <c r="C91" s="10" t="n"/>
      <c r="D91" s="10" t="n"/>
      <c r="E91" s="10" t="n"/>
      <c r="F91" s="10" t="n"/>
      <c r="G91" s="12">
        <f>IF($A91="","",B91)</f>
        <v/>
      </c>
      <c r="H91" s="12">
        <f>IF($A91="","",F91)</f>
        <v/>
      </c>
      <c r="I91" s="11">
        <f>IF($A91="","",IFERROR(C91/B91,0))</f>
        <v/>
      </c>
      <c r="J91" s="12">
        <f>IF($A91="","",B91)</f>
        <v/>
      </c>
      <c r="K91" s="14">
        <f>IF($A91="","",IFERROR(B91/Social!B91,0))</f>
        <v/>
      </c>
      <c r="L91" s="11">
        <f>IF($A91="","",IFERROR(E91/F91,0))</f>
        <v/>
      </c>
    </row>
    <row r="92" ht="22" customHeight="1">
      <c r="A92" s="9" t="n"/>
      <c r="B92" s="10" t="n"/>
      <c r="C92" s="10" t="n"/>
      <c r="D92" s="10" t="n"/>
      <c r="E92" s="10" t="n"/>
      <c r="F92" s="10" t="n"/>
      <c r="G92" s="12">
        <f>IF($A92="","",B92)</f>
        <v/>
      </c>
      <c r="H92" s="12">
        <f>IF($A92="","",F92)</f>
        <v/>
      </c>
      <c r="I92" s="11">
        <f>IF($A92="","",IFERROR(C92/B92,0))</f>
        <v/>
      </c>
      <c r="J92" s="12">
        <f>IF($A92="","",B92)</f>
        <v/>
      </c>
      <c r="K92" s="14">
        <f>IF($A92="","",IFERROR(B92/Social!B92,0))</f>
        <v/>
      </c>
      <c r="L92" s="11">
        <f>IF($A92="","",IFERROR(E92/F92,0))</f>
        <v/>
      </c>
    </row>
    <row r="93" ht="22" customHeight="1">
      <c r="A93" s="9" t="n"/>
      <c r="B93" s="10" t="n"/>
      <c r="C93" s="10" t="n"/>
      <c r="D93" s="10" t="n"/>
      <c r="E93" s="10" t="n"/>
      <c r="F93" s="10" t="n"/>
      <c r="G93" s="12">
        <f>IF($A93="","",B93)</f>
        <v/>
      </c>
      <c r="H93" s="12">
        <f>IF($A93="","",F93)</f>
        <v/>
      </c>
      <c r="I93" s="11">
        <f>IF($A93="","",IFERROR(C93/B93,0))</f>
        <v/>
      </c>
      <c r="J93" s="12">
        <f>IF($A93="","",B93)</f>
        <v/>
      </c>
      <c r="K93" s="14">
        <f>IF($A93="","",IFERROR(B93/Social!B93,0))</f>
        <v/>
      </c>
      <c r="L93" s="11">
        <f>IF($A93="","",IFERROR(E93/F93,0))</f>
        <v/>
      </c>
    </row>
    <row r="94" ht="22" customHeight="1">
      <c r="A94" s="9" t="n"/>
      <c r="B94" s="10" t="n"/>
      <c r="C94" s="10" t="n"/>
      <c r="D94" s="10" t="n"/>
      <c r="E94" s="10" t="n"/>
      <c r="F94" s="10" t="n"/>
      <c r="G94" s="12">
        <f>IF($A94="","",B94)</f>
        <v/>
      </c>
      <c r="H94" s="12">
        <f>IF($A94="","",F94)</f>
        <v/>
      </c>
      <c r="I94" s="11">
        <f>IF($A94="","",IFERROR(C94/B94,0))</f>
        <v/>
      </c>
      <c r="J94" s="12">
        <f>IF($A94="","",B94)</f>
        <v/>
      </c>
      <c r="K94" s="14">
        <f>IF($A94="","",IFERROR(B94/Social!B94,0))</f>
        <v/>
      </c>
      <c r="L94" s="11">
        <f>IF($A94="","",IFERROR(E94/F94,0))</f>
        <v/>
      </c>
    </row>
    <row r="95" ht="22" customHeight="1">
      <c r="A95" s="9" t="n"/>
      <c r="B95" s="10" t="n"/>
      <c r="C95" s="10" t="n"/>
      <c r="D95" s="10" t="n"/>
      <c r="E95" s="10" t="n"/>
      <c r="F95" s="10" t="n"/>
      <c r="G95" s="12">
        <f>IF($A95="","",B95)</f>
        <v/>
      </c>
      <c r="H95" s="12">
        <f>IF($A95="","",F95)</f>
        <v/>
      </c>
      <c r="I95" s="11">
        <f>IF($A95="","",IFERROR(C95/B95,0))</f>
        <v/>
      </c>
      <c r="J95" s="12">
        <f>IF($A95="","",B95)</f>
        <v/>
      </c>
      <c r="K95" s="14">
        <f>IF($A95="","",IFERROR(B95/Social!B95,0))</f>
        <v/>
      </c>
      <c r="L95" s="11">
        <f>IF($A95="","",IFERROR(E95/F95,0))</f>
        <v/>
      </c>
    </row>
    <row r="96" ht="22" customHeight="1">
      <c r="A96" s="9" t="n"/>
      <c r="B96" s="10" t="n"/>
      <c r="C96" s="10" t="n"/>
      <c r="D96" s="10" t="n"/>
      <c r="E96" s="10" t="n"/>
      <c r="F96" s="10" t="n"/>
      <c r="G96" s="12">
        <f>IF($A96="","",B96)</f>
        <v/>
      </c>
      <c r="H96" s="12">
        <f>IF($A96="","",F96)</f>
        <v/>
      </c>
      <c r="I96" s="11">
        <f>IF($A96="","",IFERROR(C96/B96,0))</f>
        <v/>
      </c>
      <c r="J96" s="12">
        <f>IF($A96="","",B96)</f>
        <v/>
      </c>
      <c r="K96" s="14">
        <f>IF($A96="","",IFERROR(B96/Social!B96,0))</f>
        <v/>
      </c>
      <c r="L96" s="11">
        <f>IF($A96="","",IFERROR(E96/F96,0))</f>
        <v/>
      </c>
    </row>
    <row r="97" ht="22" customHeight="1">
      <c r="A97" s="9" t="n"/>
      <c r="B97" s="10" t="n"/>
      <c r="C97" s="10" t="n"/>
      <c r="D97" s="10" t="n"/>
      <c r="E97" s="10" t="n"/>
      <c r="F97" s="10" t="n"/>
      <c r="G97" s="12">
        <f>IF($A97="","",B97)</f>
        <v/>
      </c>
      <c r="H97" s="12">
        <f>IF($A97="","",F97)</f>
        <v/>
      </c>
      <c r="I97" s="11">
        <f>IF($A97="","",IFERROR(C97/B97,0))</f>
        <v/>
      </c>
      <c r="J97" s="12">
        <f>IF($A97="","",B97)</f>
        <v/>
      </c>
      <c r="K97" s="14">
        <f>IF($A97="","",IFERROR(B97/Social!B97,0))</f>
        <v/>
      </c>
      <c r="L97" s="11">
        <f>IF($A97="","",IFERROR(E97/F97,0))</f>
        <v/>
      </c>
    </row>
    <row r="98" ht="22" customHeight="1">
      <c r="A98" s="9" t="n"/>
      <c r="B98" s="10" t="n"/>
      <c r="C98" s="10" t="n"/>
      <c r="D98" s="10" t="n"/>
      <c r="E98" s="10" t="n"/>
      <c r="F98" s="10" t="n"/>
      <c r="G98" s="12">
        <f>IF($A98="","",B98)</f>
        <v/>
      </c>
      <c r="H98" s="12">
        <f>IF($A98="","",F98)</f>
        <v/>
      </c>
      <c r="I98" s="11">
        <f>IF($A98="","",IFERROR(C98/B98,0))</f>
        <v/>
      </c>
      <c r="J98" s="12">
        <f>IF($A98="","",B98)</f>
        <v/>
      </c>
      <c r="K98" s="14">
        <f>IF($A98="","",IFERROR(B98/Social!B98,0))</f>
        <v/>
      </c>
      <c r="L98" s="11">
        <f>IF($A98="","",IFERROR(E98/F98,0))</f>
        <v/>
      </c>
    </row>
    <row r="99" ht="22" customHeight="1">
      <c r="A99" s="9" t="n"/>
      <c r="B99" s="10" t="n"/>
      <c r="C99" s="10" t="n"/>
      <c r="D99" s="10" t="n"/>
      <c r="E99" s="10" t="n"/>
      <c r="F99" s="10" t="n"/>
      <c r="G99" s="12">
        <f>IF($A99="","",B99)</f>
        <v/>
      </c>
      <c r="H99" s="12">
        <f>IF($A99="","",F99)</f>
        <v/>
      </c>
      <c r="I99" s="11">
        <f>IF($A99="","",IFERROR(C99/B99,0))</f>
        <v/>
      </c>
      <c r="J99" s="12">
        <f>IF($A99="","",B99)</f>
        <v/>
      </c>
      <c r="K99" s="14">
        <f>IF($A99="","",IFERROR(B99/Social!B99,0))</f>
        <v/>
      </c>
      <c r="L99" s="11">
        <f>IF($A99="","",IFERROR(E99/F99,0))</f>
        <v/>
      </c>
    </row>
    <row r="100" ht="22" customHeight="1">
      <c r="A100" s="9" t="n"/>
      <c r="B100" s="10" t="n"/>
      <c r="C100" s="10" t="n"/>
      <c r="D100" s="10" t="n"/>
      <c r="E100" s="10" t="n"/>
      <c r="F100" s="10" t="n"/>
      <c r="G100" s="12">
        <f>IF($A100="","",B100)</f>
        <v/>
      </c>
      <c r="H100" s="12">
        <f>IF($A100="","",F100)</f>
        <v/>
      </c>
      <c r="I100" s="11">
        <f>IF($A100="","",IFERROR(C100/B100,0))</f>
        <v/>
      </c>
      <c r="J100" s="12">
        <f>IF($A100="","",B100)</f>
        <v/>
      </c>
      <c r="K100" s="14">
        <f>IF($A100="","",IFERROR(B100/Social!B100,0))</f>
        <v/>
      </c>
      <c r="L100" s="11">
        <f>IF($A100="","",IFERROR(E100/F100,0))</f>
        <v/>
      </c>
    </row>
    <row r="101" ht="22" customHeight="1">
      <c r="A101" s="9" t="n"/>
      <c r="B101" s="10" t="n"/>
      <c r="C101" s="10" t="n"/>
      <c r="D101" s="10" t="n"/>
      <c r="E101" s="10" t="n"/>
      <c r="F101" s="10" t="n"/>
      <c r="G101" s="12">
        <f>IF($A101="","",B101)</f>
        <v/>
      </c>
      <c r="H101" s="12">
        <f>IF($A101="","",F101)</f>
        <v/>
      </c>
      <c r="I101" s="11">
        <f>IF($A101="","",IFERROR(C101/B101,0))</f>
        <v/>
      </c>
      <c r="J101" s="12">
        <f>IF($A101="","",B101)</f>
        <v/>
      </c>
      <c r="K101" s="14">
        <f>IF($A101="","",IFERROR(B101/Social!B101,0))</f>
        <v/>
      </c>
      <c r="L101" s="11">
        <f>IF($A101="","",IFERROR(E101/F101,0))</f>
        <v/>
      </c>
    </row>
    <row r="102" ht="22" customHeight="1">
      <c r="A102" s="9" t="n"/>
      <c r="B102" s="10" t="n"/>
      <c r="C102" s="10" t="n"/>
      <c r="D102" s="10" t="n"/>
      <c r="E102" s="10" t="n"/>
      <c r="F102" s="10" t="n"/>
      <c r="G102" s="12">
        <f>IF($A102="","",B102)</f>
        <v/>
      </c>
      <c r="H102" s="12">
        <f>IF($A102="","",F102)</f>
        <v/>
      </c>
      <c r="I102" s="11">
        <f>IF($A102="","",IFERROR(C102/B102,0))</f>
        <v/>
      </c>
      <c r="J102" s="12">
        <f>IF($A102="","",B102)</f>
        <v/>
      </c>
      <c r="K102" s="14">
        <f>IF($A102="","",IFERROR(B102/Social!B102,0))</f>
        <v/>
      </c>
      <c r="L102" s="11">
        <f>IF($A102="","",IFERROR(E102/F102,0))</f>
        <v/>
      </c>
    </row>
    <row r="103" ht="22" customHeight="1">
      <c r="A103" s="9" t="n"/>
      <c r="B103" s="10" t="n"/>
      <c r="C103" s="10" t="n"/>
      <c r="D103" s="10" t="n"/>
      <c r="E103" s="10" t="n"/>
      <c r="F103" s="10" t="n"/>
      <c r="G103" s="12">
        <f>IF($A103="","",B103)</f>
        <v/>
      </c>
      <c r="H103" s="12">
        <f>IF($A103="","",F103)</f>
        <v/>
      </c>
      <c r="I103" s="11">
        <f>IF($A103="","",IFERROR(C103/B103,0))</f>
        <v/>
      </c>
      <c r="J103" s="12">
        <f>IF($A103="","",B103)</f>
        <v/>
      </c>
      <c r="K103" s="14">
        <f>IF($A103="","",IFERROR(B103/Social!B103,0))</f>
        <v/>
      </c>
      <c r="L103" s="11">
        <f>IF($A103="","",IFERROR(E103/F103,0))</f>
        <v/>
      </c>
    </row>
    <row r="104" ht="22" customHeight="1">
      <c r="A104" s="9" t="n"/>
      <c r="B104" s="10" t="n"/>
      <c r="C104" s="10" t="n"/>
      <c r="D104" s="10" t="n"/>
      <c r="E104" s="10" t="n"/>
      <c r="F104" s="10" t="n"/>
      <c r="G104" s="12">
        <f>IF($A104="","",B104)</f>
        <v/>
      </c>
      <c r="H104" s="12">
        <f>IF($A104="","",F104)</f>
        <v/>
      </c>
      <c r="I104" s="11">
        <f>IF($A104="","",IFERROR(C104/B104,0))</f>
        <v/>
      </c>
      <c r="J104" s="12">
        <f>IF($A104="","",B104)</f>
        <v/>
      </c>
      <c r="K104" s="14">
        <f>IF($A104="","",IFERROR(B104/Social!B104,0))</f>
        <v/>
      </c>
      <c r="L104" s="11">
        <f>IF($A104="","",IFERROR(E104/F104,0))</f>
        <v/>
      </c>
    </row>
    <row r="105" ht="22" customHeight="1">
      <c r="A105" s="9" t="n"/>
      <c r="B105" s="10" t="n"/>
      <c r="C105" s="10" t="n"/>
      <c r="D105" s="10" t="n"/>
      <c r="E105" s="10" t="n"/>
      <c r="F105" s="10" t="n"/>
      <c r="G105" s="12">
        <f>IF($A105="","",B105)</f>
        <v/>
      </c>
      <c r="H105" s="12">
        <f>IF($A105="","",F105)</f>
        <v/>
      </c>
      <c r="I105" s="11">
        <f>IF($A105="","",IFERROR(C105/B105,0))</f>
        <v/>
      </c>
      <c r="J105" s="12">
        <f>IF($A105="","",B105)</f>
        <v/>
      </c>
      <c r="K105" s="14">
        <f>IF($A105="","",IFERROR(B105/Social!B105,0))</f>
        <v/>
      </c>
      <c r="L105" s="11">
        <f>IF($A105="","",IFERROR(E105/F105,0))</f>
        <v/>
      </c>
    </row>
    <row r="106" ht="22" customHeight="1">
      <c r="A106" s="9" t="n"/>
      <c r="B106" s="10" t="n"/>
      <c r="C106" s="10" t="n"/>
      <c r="D106" s="10" t="n"/>
      <c r="E106" s="10" t="n"/>
      <c r="F106" s="10" t="n"/>
      <c r="G106" s="12">
        <f>IF($A106="","",B106)</f>
        <v/>
      </c>
      <c r="H106" s="12">
        <f>IF($A106="","",F106)</f>
        <v/>
      </c>
      <c r="I106" s="11">
        <f>IF($A106="","",IFERROR(C106/B106,0))</f>
        <v/>
      </c>
      <c r="J106" s="12">
        <f>IF($A106="","",B106)</f>
        <v/>
      </c>
      <c r="K106" s="14">
        <f>IF($A106="","",IFERROR(B106/Social!B106,0))</f>
        <v/>
      </c>
      <c r="L106" s="11">
        <f>IF($A106="","",IFERROR(E106/F106,0))</f>
        <v/>
      </c>
    </row>
    <row r="107" ht="22" customHeight="1">
      <c r="A107" s="9" t="n"/>
      <c r="B107" s="10" t="n"/>
      <c r="C107" s="10" t="n"/>
      <c r="D107" s="10" t="n"/>
      <c r="E107" s="10" t="n"/>
      <c r="F107" s="10" t="n"/>
      <c r="G107" s="12">
        <f>IF($A107="","",B107)</f>
        <v/>
      </c>
      <c r="H107" s="12">
        <f>IF($A107="","",F107)</f>
        <v/>
      </c>
      <c r="I107" s="11">
        <f>IF($A107="","",IFERROR(C107/B107,0))</f>
        <v/>
      </c>
      <c r="J107" s="12">
        <f>IF($A107="","",B107)</f>
        <v/>
      </c>
      <c r="K107" s="14">
        <f>IF($A107="","",IFERROR(B107/Social!B107,0))</f>
        <v/>
      </c>
      <c r="L107" s="11">
        <f>IF($A107="","",IFERROR(E107/F107,0))</f>
        <v/>
      </c>
    </row>
    <row r="108" ht="22" customHeight="1">
      <c r="A108" s="9" t="n"/>
      <c r="B108" s="10" t="n"/>
      <c r="C108" s="10" t="n"/>
      <c r="D108" s="10" t="n"/>
      <c r="E108" s="10" t="n"/>
      <c r="F108" s="10" t="n"/>
      <c r="G108" s="12">
        <f>IF($A108="","",B108)</f>
        <v/>
      </c>
      <c r="H108" s="12">
        <f>IF($A108="","",F108)</f>
        <v/>
      </c>
      <c r="I108" s="11">
        <f>IF($A108="","",IFERROR(C108/B108,0))</f>
        <v/>
      </c>
      <c r="J108" s="12">
        <f>IF($A108="","",B108)</f>
        <v/>
      </c>
      <c r="K108" s="14">
        <f>IF($A108="","",IFERROR(B108/Social!B108,0))</f>
        <v/>
      </c>
      <c r="L108" s="11">
        <f>IF($A108="","",IFERROR(E108/F108,0))</f>
        <v/>
      </c>
    </row>
    <row r="109" ht="22" customHeight="1">
      <c r="A109" s="9" t="n"/>
      <c r="B109" s="10" t="n"/>
      <c r="C109" s="10" t="n"/>
      <c r="D109" s="10" t="n"/>
      <c r="E109" s="10" t="n"/>
      <c r="F109" s="10" t="n"/>
      <c r="G109" s="12">
        <f>IF($A109="","",B109)</f>
        <v/>
      </c>
      <c r="H109" s="12">
        <f>IF($A109="","",F109)</f>
        <v/>
      </c>
      <c r="I109" s="11">
        <f>IF($A109="","",IFERROR(C109/B109,0))</f>
        <v/>
      </c>
      <c r="J109" s="12">
        <f>IF($A109="","",B109)</f>
        <v/>
      </c>
      <c r="K109" s="14">
        <f>IF($A109="","",IFERROR(B109/Social!B109,0))</f>
        <v/>
      </c>
      <c r="L109" s="11">
        <f>IF($A109="","",IFERROR(E109/F109,0))</f>
        <v/>
      </c>
    </row>
    <row r="110" ht="22" customHeight="1">
      <c r="A110" s="9" t="n"/>
      <c r="B110" s="10" t="n"/>
      <c r="C110" s="10" t="n"/>
      <c r="D110" s="10" t="n"/>
      <c r="E110" s="10" t="n"/>
      <c r="F110" s="10" t="n"/>
      <c r="G110" s="12">
        <f>IF($A110="","",B110)</f>
        <v/>
      </c>
      <c r="H110" s="12">
        <f>IF($A110="","",F110)</f>
        <v/>
      </c>
      <c r="I110" s="11">
        <f>IF($A110="","",IFERROR(C110/B110,0))</f>
        <v/>
      </c>
      <c r="J110" s="12">
        <f>IF($A110="","",B110)</f>
        <v/>
      </c>
      <c r="K110" s="14">
        <f>IF($A110="","",IFERROR(B110/Social!B110,0))</f>
        <v/>
      </c>
      <c r="L110" s="11">
        <f>IF($A110="","",IFERROR(E110/F110,0))</f>
        <v/>
      </c>
    </row>
    <row r="111" ht="22" customHeight="1">
      <c r="A111" s="9" t="n"/>
      <c r="B111" s="10" t="n"/>
      <c r="C111" s="10" t="n"/>
      <c r="D111" s="10" t="n"/>
      <c r="E111" s="10" t="n"/>
      <c r="F111" s="10" t="n"/>
      <c r="G111" s="12">
        <f>IF($A111="","",B111)</f>
        <v/>
      </c>
      <c r="H111" s="12">
        <f>IF($A111="","",F111)</f>
        <v/>
      </c>
      <c r="I111" s="11">
        <f>IF($A111="","",IFERROR(C111/B111,0))</f>
        <v/>
      </c>
      <c r="J111" s="12">
        <f>IF($A111="","",B111)</f>
        <v/>
      </c>
      <c r="K111" s="14">
        <f>IF($A111="","",IFERROR(B111/Social!B111,0))</f>
        <v/>
      </c>
      <c r="L111" s="11">
        <f>IF($A111="","",IFERROR(E111/F111,0))</f>
        <v/>
      </c>
    </row>
    <row r="112" ht="22" customHeight="1">
      <c r="A112" s="9" t="n"/>
      <c r="B112" s="10" t="n"/>
      <c r="C112" s="10" t="n"/>
      <c r="D112" s="10" t="n"/>
      <c r="E112" s="10" t="n"/>
      <c r="F112" s="10" t="n"/>
      <c r="G112" s="12">
        <f>IF($A112="","",B112)</f>
        <v/>
      </c>
      <c r="H112" s="12">
        <f>IF($A112="","",F112)</f>
        <v/>
      </c>
      <c r="I112" s="11">
        <f>IF($A112="","",IFERROR(C112/B112,0))</f>
        <v/>
      </c>
      <c r="J112" s="12">
        <f>IF($A112="","",B112)</f>
        <v/>
      </c>
      <c r="K112" s="14">
        <f>IF($A112="","",IFERROR(B112/Social!B112,0))</f>
        <v/>
      </c>
      <c r="L112" s="11">
        <f>IF($A112="","",IFERROR(E112/F112,0))</f>
        <v/>
      </c>
    </row>
    <row r="113" ht="22" customHeight="1">
      <c r="A113" s="9" t="n"/>
      <c r="B113" s="10" t="n"/>
      <c r="C113" s="10" t="n"/>
      <c r="D113" s="10" t="n"/>
      <c r="E113" s="10" t="n"/>
      <c r="F113" s="10" t="n"/>
      <c r="G113" s="12">
        <f>IF($A113="","",B113)</f>
        <v/>
      </c>
      <c r="H113" s="12">
        <f>IF($A113="","",F113)</f>
        <v/>
      </c>
      <c r="I113" s="11">
        <f>IF($A113="","",IFERROR(C113/B113,0))</f>
        <v/>
      </c>
      <c r="J113" s="12">
        <f>IF($A113="","",B113)</f>
        <v/>
      </c>
      <c r="K113" s="14">
        <f>IF($A113="","",IFERROR(B113/Social!B113,0))</f>
        <v/>
      </c>
      <c r="L113" s="11">
        <f>IF($A113="","",IFERROR(E113/F113,0))</f>
        <v/>
      </c>
    </row>
    <row r="114" ht="22" customHeight="1">
      <c r="A114" s="9" t="n"/>
      <c r="B114" s="10" t="n"/>
      <c r="C114" s="10" t="n"/>
      <c r="D114" s="10" t="n"/>
      <c r="E114" s="10" t="n"/>
      <c r="F114" s="10" t="n"/>
      <c r="G114" s="12">
        <f>IF($A114="","",B114)</f>
        <v/>
      </c>
      <c r="H114" s="12">
        <f>IF($A114="","",F114)</f>
        <v/>
      </c>
      <c r="I114" s="11">
        <f>IF($A114="","",IFERROR(C114/B114,0))</f>
        <v/>
      </c>
      <c r="J114" s="12">
        <f>IF($A114="","",B114)</f>
        <v/>
      </c>
      <c r="K114" s="14">
        <f>IF($A114="","",IFERROR(B114/Social!B114,0))</f>
        <v/>
      </c>
      <c r="L114" s="11">
        <f>IF($A114="","",IFERROR(E114/F114,0))</f>
        <v/>
      </c>
    </row>
    <row r="115" ht="22" customHeight="1">
      <c r="A115" s="9" t="n"/>
      <c r="B115" s="10" t="n"/>
      <c r="C115" s="10" t="n"/>
      <c r="D115" s="10" t="n"/>
      <c r="E115" s="10" t="n"/>
      <c r="F115" s="10" t="n"/>
      <c r="G115" s="12">
        <f>IF($A115="","",B115)</f>
        <v/>
      </c>
      <c r="H115" s="12">
        <f>IF($A115="","",F115)</f>
        <v/>
      </c>
      <c r="I115" s="11">
        <f>IF($A115="","",IFERROR(C115/B115,0))</f>
        <v/>
      </c>
      <c r="J115" s="12">
        <f>IF($A115="","",B115)</f>
        <v/>
      </c>
      <c r="K115" s="14">
        <f>IF($A115="","",IFERROR(B115/Social!B115,0))</f>
        <v/>
      </c>
      <c r="L115" s="11">
        <f>IF($A115="","",IFERROR(E115/F115,0))</f>
        <v/>
      </c>
    </row>
    <row r="116" ht="22" customHeight="1">
      <c r="A116" s="9" t="n"/>
      <c r="B116" s="10" t="n"/>
      <c r="C116" s="10" t="n"/>
      <c r="D116" s="10" t="n"/>
      <c r="E116" s="10" t="n"/>
      <c r="F116" s="10" t="n"/>
      <c r="G116" s="12">
        <f>IF($A116="","",B116)</f>
        <v/>
      </c>
      <c r="H116" s="12">
        <f>IF($A116="","",F116)</f>
        <v/>
      </c>
      <c r="I116" s="11">
        <f>IF($A116="","",IFERROR(C116/B116,0))</f>
        <v/>
      </c>
      <c r="J116" s="12">
        <f>IF($A116="","",B116)</f>
        <v/>
      </c>
      <c r="K116" s="14">
        <f>IF($A116="","",IFERROR(B116/Social!B116,0))</f>
        <v/>
      </c>
      <c r="L116" s="11">
        <f>IF($A116="","",IFERROR(E116/F116,0))</f>
        <v/>
      </c>
    </row>
    <row r="117" ht="22" customHeight="1">
      <c r="A117" s="9" t="n"/>
      <c r="B117" s="10" t="n"/>
      <c r="C117" s="10" t="n"/>
      <c r="D117" s="10" t="n"/>
      <c r="E117" s="10" t="n"/>
      <c r="F117" s="10" t="n"/>
      <c r="G117" s="12">
        <f>IF($A117="","",B117)</f>
        <v/>
      </c>
      <c r="H117" s="12">
        <f>IF($A117="","",F117)</f>
        <v/>
      </c>
      <c r="I117" s="11">
        <f>IF($A117="","",IFERROR(C117/B117,0))</f>
        <v/>
      </c>
      <c r="J117" s="12">
        <f>IF($A117="","",B117)</f>
        <v/>
      </c>
      <c r="K117" s="14">
        <f>IF($A117="","",IFERROR(B117/Social!B117,0))</f>
        <v/>
      </c>
      <c r="L117" s="11">
        <f>IF($A117="","",IFERROR(E117/F117,0))</f>
        <v/>
      </c>
    </row>
    <row r="118" ht="22" customHeight="1">
      <c r="A118" s="9" t="n"/>
      <c r="B118" s="10" t="n"/>
      <c r="C118" s="10" t="n"/>
      <c r="D118" s="10" t="n"/>
      <c r="E118" s="10" t="n"/>
      <c r="F118" s="10" t="n"/>
      <c r="G118" s="12">
        <f>IF($A118="","",B118)</f>
        <v/>
      </c>
      <c r="H118" s="12">
        <f>IF($A118="","",F118)</f>
        <v/>
      </c>
      <c r="I118" s="11">
        <f>IF($A118="","",IFERROR(C118/B118,0))</f>
        <v/>
      </c>
      <c r="J118" s="12">
        <f>IF($A118="","",B118)</f>
        <v/>
      </c>
      <c r="K118" s="14">
        <f>IF($A118="","",IFERROR(B118/Social!B118,0))</f>
        <v/>
      </c>
      <c r="L118" s="11">
        <f>IF($A118="","",IFERROR(E118/F118,0))</f>
        <v/>
      </c>
    </row>
    <row r="119" ht="22" customHeight="1">
      <c r="A119" s="9" t="n"/>
      <c r="B119" s="10" t="n"/>
      <c r="C119" s="10" t="n"/>
      <c r="D119" s="10" t="n"/>
      <c r="E119" s="10" t="n"/>
      <c r="F119" s="10" t="n"/>
      <c r="G119" s="12">
        <f>IF($A119="","",B119)</f>
        <v/>
      </c>
      <c r="H119" s="12">
        <f>IF($A119="","",F119)</f>
        <v/>
      </c>
      <c r="I119" s="11">
        <f>IF($A119="","",IFERROR(C119/B119,0))</f>
        <v/>
      </c>
      <c r="J119" s="12">
        <f>IF($A119="","",B119)</f>
        <v/>
      </c>
      <c r="K119" s="14">
        <f>IF($A119="","",IFERROR(B119/Social!B119,0))</f>
        <v/>
      </c>
      <c r="L119" s="11">
        <f>IF($A119="","",IFERROR(E119/F119,0))</f>
        <v/>
      </c>
    </row>
    <row r="120" ht="22" customHeight="1">
      <c r="A120" s="9" t="n"/>
      <c r="B120" s="10" t="n"/>
      <c r="C120" s="10" t="n"/>
      <c r="D120" s="10" t="n"/>
      <c r="E120" s="10" t="n"/>
      <c r="F120" s="10" t="n"/>
      <c r="G120" s="12">
        <f>IF($A120="","",B120)</f>
        <v/>
      </c>
      <c r="H120" s="12">
        <f>IF($A120="","",F120)</f>
        <v/>
      </c>
      <c r="I120" s="11">
        <f>IF($A120="","",IFERROR(C120/B120,0))</f>
        <v/>
      </c>
      <c r="J120" s="12">
        <f>IF($A120="","",B120)</f>
        <v/>
      </c>
      <c r="K120" s="14">
        <f>IF($A120="","",IFERROR(B120/Social!B120,0))</f>
        <v/>
      </c>
      <c r="L120" s="11">
        <f>IF($A120="","",IFERROR(E120/F120,0))</f>
        <v/>
      </c>
    </row>
    <row r="121" ht="22" customHeight="1">
      <c r="A121" s="9" t="n"/>
      <c r="B121" s="10" t="n"/>
      <c r="C121" s="10" t="n"/>
      <c r="D121" s="10" t="n"/>
      <c r="E121" s="10" t="n"/>
      <c r="F121" s="10" t="n"/>
      <c r="G121" s="12">
        <f>IF($A121="","",B121)</f>
        <v/>
      </c>
      <c r="H121" s="12">
        <f>IF($A121="","",F121)</f>
        <v/>
      </c>
      <c r="I121" s="11">
        <f>IF($A121="","",IFERROR(C121/B121,0))</f>
        <v/>
      </c>
      <c r="J121" s="12">
        <f>IF($A121="","",B121)</f>
        <v/>
      </c>
      <c r="K121" s="14">
        <f>IF($A121="","",IFERROR(B121/Social!B121,0))</f>
        <v/>
      </c>
      <c r="L121" s="11">
        <f>IF($A121="","",IFERROR(E121/F121,0))</f>
        <v/>
      </c>
    </row>
    <row r="122" ht="22" customHeight="1">
      <c r="A122" s="9" t="n"/>
      <c r="B122" s="10" t="n"/>
      <c r="C122" s="10" t="n"/>
      <c r="D122" s="10" t="n"/>
      <c r="E122" s="10" t="n"/>
      <c r="F122" s="10" t="n"/>
      <c r="G122" s="12">
        <f>IF($A122="","",B122)</f>
        <v/>
      </c>
      <c r="H122" s="12">
        <f>IF($A122="","",F122)</f>
        <v/>
      </c>
      <c r="I122" s="11">
        <f>IF($A122="","",IFERROR(C122/B122,0))</f>
        <v/>
      </c>
      <c r="J122" s="12">
        <f>IF($A122="","",B122)</f>
        <v/>
      </c>
      <c r="K122" s="14">
        <f>IF($A122="","",IFERROR(B122/Social!B122,0))</f>
        <v/>
      </c>
      <c r="L122" s="11">
        <f>IF($A122="","",IFERROR(E122/F122,0))</f>
        <v/>
      </c>
    </row>
    <row r="123" ht="22" customHeight="1">
      <c r="A123" s="9" t="n"/>
      <c r="B123" s="10" t="n"/>
      <c r="C123" s="10" t="n"/>
      <c r="D123" s="10" t="n"/>
      <c r="E123" s="10" t="n"/>
      <c r="F123" s="10" t="n"/>
      <c r="G123" s="12">
        <f>IF($A123="","",B123)</f>
        <v/>
      </c>
      <c r="H123" s="12">
        <f>IF($A123="","",F123)</f>
        <v/>
      </c>
      <c r="I123" s="11">
        <f>IF($A123="","",IFERROR(C123/B123,0))</f>
        <v/>
      </c>
      <c r="J123" s="12">
        <f>IF($A123="","",B123)</f>
        <v/>
      </c>
      <c r="K123" s="14">
        <f>IF($A123="","",IFERROR(B123/Social!B123,0))</f>
        <v/>
      </c>
      <c r="L123" s="11">
        <f>IF($A123="","",IFERROR(E123/F123,0))</f>
        <v/>
      </c>
    </row>
    <row r="124" ht="22" customHeight="1">
      <c r="A124" s="9" t="n"/>
      <c r="B124" s="10" t="n"/>
      <c r="C124" s="10" t="n"/>
      <c r="D124" s="10" t="n"/>
      <c r="E124" s="10" t="n"/>
      <c r="F124" s="10" t="n"/>
      <c r="G124" s="12">
        <f>IF($A124="","",B124)</f>
        <v/>
      </c>
      <c r="H124" s="12">
        <f>IF($A124="","",F124)</f>
        <v/>
      </c>
      <c r="I124" s="11">
        <f>IF($A124="","",IFERROR(C124/B124,0))</f>
        <v/>
      </c>
      <c r="J124" s="12">
        <f>IF($A124="","",B124)</f>
        <v/>
      </c>
      <c r="K124" s="14">
        <f>IF($A124="","",IFERROR(B124/Social!B124,0))</f>
        <v/>
      </c>
      <c r="L124" s="11">
        <f>IF($A124="","",IFERROR(E124/F124,0))</f>
        <v/>
      </c>
    </row>
    <row r="125" ht="22" customHeight="1">
      <c r="A125" s="9" t="n"/>
      <c r="B125" s="10" t="n"/>
      <c r="C125" s="10" t="n"/>
      <c r="D125" s="10" t="n"/>
      <c r="E125" s="10" t="n"/>
      <c r="F125" s="10" t="n"/>
      <c r="G125" s="12">
        <f>IF($A125="","",B125)</f>
        <v/>
      </c>
      <c r="H125" s="12">
        <f>IF($A125="","",F125)</f>
        <v/>
      </c>
      <c r="I125" s="11">
        <f>IF($A125="","",IFERROR(C125/B125,0))</f>
        <v/>
      </c>
      <c r="J125" s="12">
        <f>IF($A125="","",B125)</f>
        <v/>
      </c>
      <c r="K125" s="14">
        <f>IF($A125="","",IFERROR(B125/Social!B125,0))</f>
        <v/>
      </c>
      <c r="L125" s="11">
        <f>IF($A125="","",IFERROR(E125/F125,0))</f>
        <v/>
      </c>
    </row>
    <row r="126" ht="22" customHeight="1">
      <c r="A126" s="9" t="n"/>
      <c r="B126" s="10" t="n"/>
      <c r="C126" s="10" t="n"/>
      <c r="D126" s="10" t="n"/>
      <c r="E126" s="10" t="n"/>
      <c r="F126" s="10" t="n"/>
      <c r="G126" s="12">
        <f>IF($A126="","",B126)</f>
        <v/>
      </c>
      <c r="H126" s="12">
        <f>IF($A126="","",F126)</f>
        <v/>
      </c>
      <c r="I126" s="11">
        <f>IF($A126="","",IFERROR(C126/B126,0))</f>
        <v/>
      </c>
      <c r="J126" s="12">
        <f>IF($A126="","",B126)</f>
        <v/>
      </c>
      <c r="K126" s="14">
        <f>IF($A126="","",IFERROR(B126/Social!B126,0))</f>
        <v/>
      </c>
      <c r="L126" s="11">
        <f>IF($A126="","",IFERROR(E126/F126,0))</f>
        <v/>
      </c>
    </row>
    <row r="127" ht="22" customHeight="1">
      <c r="A127" s="9" t="n"/>
      <c r="B127" s="10" t="n"/>
      <c r="C127" s="10" t="n"/>
      <c r="D127" s="10" t="n"/>
      <c r="E127" s="10" t="n"/>
      <c r="F127" s="10" t="n"/>
      <c r="G127" s="12">
        <f>IF($A127="","",B127)</f>
        <v/>
      </c>
      <c r="H127" s="12">
        <f>IF($A127="","",F127)</f>
        <v/>
      </c>
      <c r="I127" s="11">
        <f>IF($A127="","",IFERROR(C127/B127,0))</f>
        <v/>
      </c>
      <c r="J127" s="12">
        <f>IF($A127="","",B127)</f>
        <v/>
      </c>
      <c r="K127" s="14">
        <f>IF($A127="","",IFERROR(B127/Social!B127,0))</f>
        <v/>
      </c>
      <c r="L127" s="11">
        <f>IF($A127="","",IFERROR(E127/F127,0))</f>
        <v/>
      </c>
    </row>
    <row r="128" ht="22" customHeight="1">
      <c r="A128" s="9" t="n"/>
      <c r="B128" s="10" t="n"/>
      <c r="C128" s="10" t="n"/>
      <c r="D128" s="10" t="n"/>
      <c r="E128" s="10" t="n"/>
      <c r="F128" s="10" t="n"/>
      <c r="G128" s="12">
        <f>IF($A128="","",B128)</f>
        <v/>
      </c>
      <c r="H128" s="12">
        <f>IF($A128="","",F128)</f>
        <v/>
      </c>
      <c r="I128" s="11">
        <f>IF($A128="","",IFERROR(C128/B128,0))</f>
        <v/>
      </c>
      <c r="J128" s="12">
        <f>IF($A128="","",B128)</f>
        <v/>
      </c>
      <c r="K128" s="14">
        <f>IF($A128="","",IFERROR(B128/Social!B128,0))</f>
        <v/>
      </c>
      <c r="L128" s="11">
        <f>IF($A128="","",IFERROR(E128/F128,0))</f>
        <v/>
      </c>
    </row>
    <row r="129" ht="22" customHeight="1">
      <c r="A129" s="9" t="n"/>
      <c r="B129" s="10" t="n"/>
      <c r="C129" s="10" t="n"/>
      <c r="D129" s="10" t="n"/>
      <c r="E129" s="10" t="n"/>
      <c r="F129" s="10" t="n"/>
      <c r="G129" s="12">
        <f>IF($A129="","",B129)</f>
        <v/>
      </c>
      <c r="H129" s="12">
        <f>IF($A129="","",F129)</f>
        <v/>
      </c>
      <c r="I129" s="11">
        <f>IF($A129="","",IFERROR(C129/B129,0))</f>
        <v/>
      </c>
      <c r="J129" s="12">
        <f>IF($A129="","",B129)</f>
        <v/>
      </c>
      <c r="K129" s="14">
        <f>IF($A129="","",IFERROR(B129/Social!B129,0))</f>
        <v/>
      </c>
      <c r="L129" s="11">
        <f>IF($A129="","",IFERROR(E129/F129,0))</f>
        <v/>
      </c>
    </row>
    <row r="130" ht="22" customHeight="1">
      <c r="A130" s="9" t="n"/>
      <c r="B130" s="10" t="n"/>
      <c r="C130" s="10" t="n"/>
      <c r="D130" s="10" t="n"/>
      <c r="E130" s="10" t="n"/>
      <c r="F130" s="10" t="n"/>
      <c r="G130" s="12">
        <f>IF($A130="","",B130)</f>
        <v/>
      </c>
      <c r="H130" s="12">
        <f>IF($A130="","",F130)</f>
        <v/>
      </c>
      <c r="I130" s="11">
        <f>IF($A130="","",IFERROR(C130/B130,0))</f>
        <v/>
      </c>
      <c r="J130" s="12">
        <f>IF($A130="","",B130)</f>
        <v/>
      </c>
      <c r="K130" s="14">
        <f>IF($A130="","",IFERROR(B130/Social!B130,0))</f>
        <v/>
      </c>
      <c r="L130" s="11">
        <f>IF($A130="","",IFERROR(E130/F130,0))</f>
        <v/>
      </c>
    </row>
    <row r="131" ht="22" customHeight="1">
      <c r="A131" s="9" t="n"/>
      <c r="B131" s="10" t="n"/>
      <c r="C131" s="10" t="n"/>
      <c r="D131" s="10" t="n"/>
      <c r="E131" s="10" t="n"/>
      <c r="F131" s="10" t="n"/>
      <c r="G131" s="12">
        <f>IF($A131="","",B131)</f>
        <v/>
      </c>
      <c r="H131" s="12">
        <f>IF($A131="","",F131)</f>
        <v/>
      </c>
      <c r="I131" s="11">
        <f>IF($A131="","",IFERROR(C131/B131,0))</f>
        <v/>
      </c>
      <c r="J131" s="12">
        <f>IF($A131="","",B131)</f>
        <v/>
      </c>
      <c r="K131" s="14">
        <f>IF($A131="","",IFERROR(B131/Social!B131,0))</f>
        <v/>
      </c>
      <c r="L131" s="11">
        <f>IF($A131="","",IFERROR(E131/F131,0))</f>
        <v/>
      </c>
    </row>
    <row r="132" ht="22" customHeight="1">
      <c r="A132" s="9" t="n"/>
      <c r="B132" s="10" t="n"/>
      <c r="C132" s="10" t="n"/>
      <c r="D132" s="10" t="n"/>
      <c r="E132" s="10" t="n"/>
      <c r="F132" s="10" t="n"/>
      <c r="G132" s="12">
        <f>IF($A132="","",B132)</f>
        <v/>
      </c>
      <c r="H132" s="12">
        <f>IF($A132="","",F132)</f>
        <v/>
      </c>
      <c r="I132" s="11">
        <f>IF($A132="","",IFERROR(C132/B132,0))</f>
        <v/>
      </c>
      <c r="J132" s="12">
        <f>IF($A132="","",B132)</f>
        <v/>
      </c>
      <c r="K132" s="14">
        <f>IF($A132="","",IFERROR(B132/Social!B132,0))</f>
        <v/>
      </c>
      <c r="L132" s="11">
        <f>IF($A132="","",IFERROR(E132/F132,0))</f>
        <v/>
      </c>
    </row>
    <row r="133" ht="22" customHeight="1">
      <c r="A133" s="9" t="n"/>
      <c r="B133" s="10" t="n"/>
      <c r="C133" s="10" t="n"/>
      <c r="D133" s="10" t="n"/>
      <c r="E133" s="10" t="n"/>
      <c r="F133" s="10" t="n"/>
      <c r="G133" s="12">
        <f>IF($A133="","",B133)</f>
        <v/>
      </c>
      <c r="H133" s="12">
        <f>IF($A133="","",F133)</f>
        <v/>
      </c>
      <c r="I133" s="11">
        <f>IF($A133="","",IFERROR(C133/B133,0))</f>
        <v/>
      </c>
      <c r="J133" s="12">
        <f>IF($A133="","",B133)</f>
        <v/>
      </c>
      <c r="K133" s="14">
        <f>IF($A133="","",IFERROR(B133/Social!B133,0))</f>
        <v/>
      </c>
      <c r="L133" s="11">
        <f>IF($A133="","",IFERROR(E133/F133,0))</f>
        <v/>
      </c>
    </row>
    <row r="134" ht="22" customHeight="1">
      <c r="A134" s="9" t="n"/>
      <c r="B134" s="10" t="n"/>
      <c r="C134" s="10" t="n"/>
      <c r="D134" s="10" t="n"/>
      <c r="E134" s="10" t="n"/>
      <c r="F134" s="10" t="n"/>
      <c r="G134" s="12">
        <f>IF($A134="","",B134)</f>
        <v/>
      </c>
      <c r="H134" s="12">
        <f>IF($A134="","",F134)</f>
        <v/>
      </c>
      <c r="I134" s="11">
        <f>IF($A134="","",IFERROR(C134/B134,0))</f>
        <v/>
      </c>
      <c r="J134" s="12">
        <f>IF($A134="","",B134)</f>
        <v/>
      </c>
      <c r="K134" s="14">
        <f>IF($A134="","",IFERROR(B134/Social!B134,0))</f>
        <v/>
      </c>
      <c r="L134" s="11">
        <f>IF($A134="","",IFERROR(E134/F134,0))</f>
        <v/>
      </c>
    </row>
    <row r="135" ht="22" customHeight="1">
      <c r="A135" s="9" t="n"/>
      <c r="B135" s="10" t="n"/>
      <c r="C135" s="10" t="n"/>
      <c r="D135" s="10" t="n"/>
      <c r="E135" s="10" t="n"/>
      <c r="F135" s="10" t="n"/>
      <c r="G135" s="12">
        <f>IF($A135="","",B135)</f>
        <v/>
      </c>
      <c r="H135" s="12">
        <f>IF($A135="","",F135)</f>
        <v/>
      </c>
      <c r="I135" s="11">
        <f>IF($A135="","",IFERROR(C135/B135,0))</f>
        <v/>
      </c>
      <c r="J135" s="12">
        <f>IF($A135="","",B135)</f>
        <v/>
      </c>
      <c r="K135" s="14">
        <f>IF($A135="","",IFERROR(B135/Social!B135,0))</f>
        <v/>
      </c>
      <c r="L135" s="11">
        <f>IF($A135="","",IFERROR(E135/F135,0))</f>
        <v/>
      </c>
    </row>
    <row r="136" ht="22" customHeight="1">
      <c r="A136" s="9" t="n"/>
      <c r="B136" s="10" t="n"/>
      <c r="C136" s="10" t="n"/>
      <c r="D136" s="10" t="n"/>
      <c r="E136" s="10" t="n"/>
      <c r="F136" s="10" t="n"/>
      <c r="G136" s="12">
        <f>IF($A136="","",B136)</f>
        <v/>
      </c>
      <c r="H136" s="12">
        <f>IF($A136="","",F136)</f>
        <v/>
      </c>
      <c r="I136" s="11">
        <f>IF($A136="","",IFERROR(C136/B136,0))</f>
        <v/>
      </c>
      <c r="J136" s="12">
        <f>IF($A136="","",B136)</f>
        <v/>
      </c>
      <c r="K136" s="14">
        <f>IF($A136="","",IFERROR(B136/Social!B136,0))</f>
        <v/>
      </c>
      <c r="L136" s="11">
        <f>IF($A136="","",IFERROR(E136/F136,0))</f>
        <v/>
      </c>
    </row>
    <row r="137" ht="22" customHeight="1">
      <c r="A137" s="9" t="n"/>
      <c r="B137" s="10" t="n"/>
      <c r="C137" s="10" t="n"/>
      <c r="D137" s="10" t="n"/>
      <c r="E137" s="10" t="n"/>
      <c r="F137" s="10" t="n"/>
      <c r="G137" s="12">
        <f>IF($A137="","",B137)</f>
        <v/>
      </c>
      <c r="H137" s="12">
        <f>IF($A137="","",F137)</f>
        <v/>
      </c>
      <c r="I137" s="11">
        <f>IF($A137="","",IFERROR(C137/B137,0))</f>
        <v/>
      </c>
      <c r="J137" s="12">
        <f>IF($A137="","",B137)</f>
        <v/>
      </c>
      <c r="K137" s="14">
        <f>IF($A137="","",IFERROR(B137/Social!B137,0))</f>
        <v/>
      </c>
      <c r="L137" s="11">
        <f>IF($A137="","",IFERROR(E137/F137,0))</f>
        <v/>
      </c>
    </row>
    <row r="138" ht="22" customHeight="1">
      <c r="A138" s="9" t="n"/>
      <c r="B138" s="10" t="n"/>
      <c r="C138" s="10" t="n"/>
      <c r="D138" s="10" t="n"/>
      <c r="E138" s="10" t="n"/>
      <c r="F138" s="10" t="n"/>
      <c r="G138" s="12">
        <f>IF($A138="","",B138)</f>
        <v/>
      </c>
      <c r="H138" s="12">
        <f>IF($A138="","",F138)</f>
        <v/>
      </c>
      <c r="I138" s="11">
        <f>IF($A138="","",IFERROR(C138/B138,0))</f>
        <v/>
      </c>
      <c r="J138" s="12">
        <f>IF($A138="","",B138)</f>
        <v/>
      </c>
      <c r="K138" s="14">
        <f>IF($A138="","",IFERROR(B138/Social!B138,0))</f>
        <v/>
      </c>
      <c r="L138" s="11">
        <f>IF($A138="","",IFERROR(E138/F138,0))</f>
        <v/>
      </c>
    </row>
    <row r="139" ht="22" customHeight="1">
      <c r="A139" s="9" t="n"/>
      <c r="B139" s="10" t="n"/>
      <c r="C139" s="10" t="n"/>
      <c r="D139" s="10" t="n"/>
      <c r="E139" s="10" t="n"/>
      <c r="F139" s="10" t="n"/>
      <c r="G139" s="12">
        <f>IF($A139="","",B139)</f>
        <v/>
      </c>
      <c r="H139" s="12">
        <f>IF($A139="","",F139)</f>
        <v/>
      </c>
      <c r="I139" s="11">
        <f>IF($A139="","",IFERROR(C139/B139,0))</f>
        <v/>
      </c>
      <c r="J139" s="12">
        <f>IF($A139="","",B139)</f>
        <v/>
      </c>
      <c r="K139" s="14">
        <f>IF($A139="","",IFERROR(B139/Social!B139,0))</f>
        <v/>
      </c>
      <c r="L139" s="11">
        <f>IF($A139="","",IFERROR(E139/F139,0))</f>
        <v/>
      </c>
    </row>
    <row r="140" ht="22" customHeight="1">
      <c r="A140" s="9" t="n"/>
      <c r="B140" s="10" t="n"/>
      <c r="C140" s="10" t="n"/>
      <c r="D140" s="10" t="n"/>
      <c r="E140" s="10" t="n"/>
      <c r="F140" s="10" t="n"/>
      <c r="G140" s="12">
        <f>IF($A140="","",B140)</f>
        <v/>
      </c>
      <c r="H140" s="12">
        <f>IF($A140="","",F140)</f>
        <v/>
      </c>
      <c r="I140" s="11">
        <f>IF($A140="","",IFERROR(C140/B140,0))</f>
        <v/>
      </c>
      <c r="J140" s="12">
        <f>IF($A140="","",B140)</f>
        <v/>
      </c>
      <c r="K140" s="14">
        <f>IF($A140="","",IFERROR(B140/Social!B140,0))</f>
        <v/>
      </c>
      <c r="L140" s="11">
        <f>IF($A140="","",IFERROR(E140/F140,0))</f>
        <v/>
      </c>
    </row>
    <row r="141" ht="22" customHeight="1">
      <c r="A141" s="9" t="n"/>
      <c r="B141" s="10" t="n"/>
      <c r="C141" s="10" t="n"/>
      <c r="D141" s="10" t="n"/>
      <c r="E141" s="10" t="n"/>
      <c r="F141" s="10" t="n"/>
      <c r="G141" s="12">
        <f>IF($A141="","",B141)</f>
        <v/>
      </c>
      <c r="H141" s="12">
        <f>IF($A141="","",F141)</f>
        <v/>
      </c>
      <c r="I141" s="11">
        <f>IF($A141="","",IFERROR(C141/B141,0))</f>
        <v/>
      </c>
      <c r="J141" s="12">
        <f>IF($A141="","",B141)</f>
        <v/>
      </c>
      <c r="K141" s="14">
        <f>IF($A141="","",IFERROR(B141/Social!B141,0))</f>
        <v/>
      </c>
      <c r="L141" s="11">
        <f>IF($A141="","",IFERROR(E141/F141,0))</f>
        <v/>
      </c>
    </row>
    <row r="142" ht="22" customHeight="1">
      <c r="A142" s="9" t="n"/>
      <c r="B142" s="10" t="n"/>
      <c r="C142" s="10" t="n"/>
      <c r="D142" s="10" t="n"/>
      <c r="E142" s="10" t="n"/>
      <c r="F142" s="10" t="n"/>
      <c r="G142" s="12">
        <f>IF($A142="","",B142)</f>
        <v/>
      </c>
      <c r="H142" s="12">
        <f>IF($A142="","",F142)</f>
        <v/>
      </c>
      <c r="I142" s="11">
        <f>IF($A142="","",IFERROR(C142/B142,0))</f>
        <v/>
      </c>
      <c r="J142" s="12">
        <f>IF($A142="","",B142)</f>
        <v/>
      </c>
      <c r="K142" s="14">
        <f>IF($A142="","",IFERROR(B142/Social!B142,0))</f>
        <v/>
      </c>
      <c r="L142" s="11">
        <f>IF($A142="","",IFERROR(E142/F142,0))</f>
        <v/>
      </c>
    </row>
    <row r="143" ht="22" customHeight="1">
      <c r="A143" s="9" t="n"/>
      <c r="B143" s="10" t="n"/>
      <c r="C143" s="10" t="n"/>
      <c r="D143" s="10" t="n"/>
      <c r="E143" s="10" t="n"/>
      <c r="F143" s="10" t="n"/>
      <c r="G143" s="12">
        <f>IF($A143="","",B143)</f>
        <v/>
      </c>
      <c r="H143" s="12">
        <f>IF($A143="","",F143)</f>
        <v/>
      </c>
      <c r="I143" s="11">
        <f>IF($A143="","",IFERROR(C143/B143,0))</f>
        <v/>
      </c>
      <c r="J143" s="12">
        <f>IF($A143="","",B143)</f>
        <v/>
      </c>
      <c r="K143" s="14">
        <f>IF($A143="","",IFERROR(B143/Social!B143,0))</f>
        <v/>
      </c>
      <c r="L143" s="11">
        <f>IF($A143="","",IFERROR(E143/F143,0))</f>
        <v/>
      </c>
    </row>
    <row r="144" ht="22" customHeight="1">
      <c r="A144" s="9" t="n"/>
      <c r="B144" s="10" t="n"/>
      <c r="C144" s="10" t="n"/>
      <c r="D144" s="10" t="n"/>
      <c r="E144" s="10" t="n"/>
      <c r="F144" s="10" t="n"/>
      <c r="G144" s="12">
        <f>IF($A144="","",B144)</f>
        <v/>
      </c>
      <c r="H144" s="12">
        <f>IF($A144="","",F144)</f>
        <v/>
      </c>
      <c r="I144" s="11">
        <f>IF($A144="","",IFERROR(C144/B144,0))</f>
        <v/>
      </c>
      <c r="J144" s="12">
        <f>IF($A144="","",B144)</f>
        <v/>
      </c>
      <c r="K144" s="14">
        <f>IF($A144="","",IFERROR(B144/Social!B144,0))</f>
        <v/>
      </c>
      <c r="L144" s="11">
        <f>IF($A144="","",IFERROR(E144/F144,0))</f>
        <v/>
      </c>
    </row>
    <row r="145" ht="22" customHeight="1">
      <c r="A145" s="9" t="n"/>
      <c r="B145" s="10" t="n"/>
      <c r="C145" s="10" t="n"/>
      <c r="D145" s="10" t="n"/>
      <c r="E145" s="10" t="n"/>
      <c r="F145" s="10" t="n"/>
      <c r="G145" s="12">
        <f>IF($A145="","",B145)</f>
        <v/>
      </c>
      <c r="H145" s="12">
        <f>IF($A145="","",F145)</f>
        <v/>
      </c>
      <c r="I145" s="11">
        <f>IF($A145="","",IFERROR(C145/B145,0))</f>
        <v/>
      </c>
      <c r="J145" s="12">
        <f>IF($A145="","",B145)</f>
        <v/>
      </c>
      <c r="K145" s="14">
        <f>IF($A145="","",IFERROR(B145/Social!B145,0))</f>
        <v/>
      </c>
      <c r="L145" s="11">
        <f>IF($A145="","",IFERROR(E145/F145,0))</f>
        <v/>
      </c>
    </row>
    <row r="146" ht="22" customHeight="1">
      <c r="A146" s="9" t="n"/>
      <c r="B146" s="10" t="n"/>
      <c r="C146" s="10" t="n"/>
      <c r="D146" s="10" t="n"/>
      <c r="E146" s="10" t="n"/>
      <c r="F146" s="10" t="n"/>
      <c r="G146" s="12">
        <f>IF($A146="","",B146)</f>
        <v/>
      </c>
      <c r="H146" s="12">
        <f>IF($A146="","",F146)</f>
        <v/>
      </c>
      <c r="I146" s="11">
        <f>IF($A146="","",IFERROR(C146/B146,0))</f>
        <v/>
      </c>
      <c r="J146" s="12">
        <f>IF($A146="","",B146)</f>
        <v/>
      </c>
      <c r="K146" s="14">
        <f>IF($A146="","",IFERROR(B146/Social!B146,0))</f>
        <v/>
      </c>
      <c r="L146" s="11">
        <f>IF($A146="","",IFERROR(E146/F146,0))</f>
        <v/>
      </c>
    </row>
    <row r="147" ht="22" customHeight="1">
      <c r="A147" s="9" t="n"/>
      <c r="B147" s="10" t="n"/>
      <c r="C147" s="10" t="n"/>
      <c r="D147" s="10" t="n"/>
      <c r="E147" s="10" t="n"/>
      <c r="F147" s="10" t="n"/>
      <c r="G147" s="12">
        <f>IF($A147="","",B147)</f>
        <v/>
      </c>
      <c r="H147" s="12">
        <f>IF($A147="","",F147)</f>
        <v/>
      </c>
      <c r="I147" s="11">
        <f>IF($A147="","",IFERROR(C147/B147,0))</f>
        <v/>
      </c>
      <c r="J147" s="12">
        <f>IF($A147="","",B147)</f>
        <v/>
      </c>
      <c r="K147" s="14">
        <f>IF($A147="","",IFERROR(B147/Social!B147,0))</f>
        <v/>
      </c>
      <c r="L147" s="11">
        <f>IF($A147="","",IFERROR(E147/F147,0))</f>
        <v/>
      </c>
    </row>
    <row r="148" ht="22" customHeight="1">
      <c r="A148" s="9" t="n"/>
      <c r="B148" s="10" t="n"/>
      <c r="C148" s="10" t="n"/>
      <c r="D148" s="10" t="n"/>
      <c r="E148" s="10" t="n"/>
      <c r="F148" s="10" t="n"/>
      <c r="G148" s="12">
        <f>IF($A148="","",B148)</f>
        <v/>
      </c>
      <c r="H148" s="12">
        <f>IF($A148="","",F148)</f>
        <v/>
      </c>
      <c r="I148" s="11">
        <f>IF($A148="","",IFERROR(C148/B148,0))</f>
        <v/>
      </c>
      <c r="J148" s="12">
        <f>IF($A148="","",B148)</f>
        <v/>
      </c>
      <c r="K148" s="14">
        <f>IF($A148="","",IFERROR(B148/Social!B148,0))</f>
        <v/>
      </c>
      <c r="L148" s="11">
        <f>IF($A148="","",IFERROR(E148/F148,0))</f>
        <v/>
      </c>
    </row>
    <row r="149" ht="22" customHeight="1">
      <c r="A149" s="9" t="n"/>
      <c r="B149" s="10" t="n"/>
      <c r="C149" s="10" t="n"/>
      <c r="D149" s="10" t="n"/>
      <c r="E149" s="10" t="n"/>
      <c r="F149" s="10" t="n"/>
      <c r="G149" s="12">
        <f>IF($A149="","",B149)</f>
        <v/>
      </c>
      <c r="H149" s="12">
        <f>IF($A149="","",F149)</f>
        <v/>
      </c>
      <c r="I149" s="11">
        <f>IF($A149="","",IFERROR(C149/B149,0))</f>
        <v/>
      </c>
      <c r="J149" s="12">
        <f>IF($A149="","",B149)</f>
        <v/>
      </c>
      <c r="K149" s="14">
        <f>IF($A149="","",IFERROR(B149/Social!B149,0))</f>
        <v/>
      </c>
      <c r="L149" s="11">
        <f>IF($A149="","",IFERROR(E149/F149,0))</f>
        <v/>
      </c>
    </row>
    <row r="150" ht="22" customHeight="1">
      <c r="A150" s="9" t="n"/>
      <c r="B150" s="10" t="n"/>
      <c r="C150" s="10" t="n"/>
      <c r="D150" s="10" t="n"/>
      <c r="E150" s="10" t="n"/>
      <c r="F150" s="10" t="n"/>
      <c r="G150" s="12">
        <f>IF($A150="","",B150)</f>
        <v/>
      </c>
      <c r="H150" s="12">
        <f>IF($A150="","",F150)</f>
        <v/>
      </c>
      <c r="I150" s="11">
        <f>IF($A150="","",IFERROR(C150/B150,0))</f>
        <v/>
      </c>
      <c r="J150" s="12">
        <f>IF($A150="","",B150)</f>
        <v/>
      </c>
      <c r="K150" s="14">
        <f>IF($A150="","",IFERROR(B150/Social!B150,0))</f>
        <v/>
      </c>
      <c r="L150" s="11">
        <f>IF($A150="","",IFERROR(E150/F150,0))</f>
        <v/>
      </c>
    </row>
    <row r="151" ht="22" customHeight="1">
      <c r="A151" s="9" t="n"/>
      <c r="B151" s="10" t="n"/>
      <c r="C151" s="10" t="n"/>
      <c r="D151" s="10" t="n"/>
      <c r="E151" s="10" t="n"/>
      <c r="F151" s="10" t="n"/>
      <c r="G151" s="12">
        <f>IF($A151="","",B151)</f>
        <v/>
      </c>
      <c r="H151" s="12">
        <f>IF($A151="","",F151)</f>
        <v/>
      </c>
      <c r="I151" s="11">
        <f>IF($A151="","",IFERROR(C151/B151,0))</f>
        <v/>
      </c>
      <c r="J151" s="12">
        <f>IF($A151="","",B151)</f>
        <v/>
      </c>
      <c r="K151" s="14">
        <f>IF($A151="","",IFERROR(B151/Social!B151,0))</f>
        <v/>
      </c>
      <c r="L151" s="11">
        <f>IF($A151="","",IFERROR(E151/F151,0))</f>
        <v/>
      </c>
    </row>
    <row r="152" ht="22" customHeight="1">
      <c r="A152" s="9" t="n"/>
      <c r="B152" s="10" t="n"/>
      <c r="C152" s="10" t="n"/>
      <c r="D152" s="10" t="n"/>
      <c r="E152" s="10" t="n"/>
      <c r="F152" s="10" t="n"/>
      <c r="G152" s="12">
        <f>IF($A152="","",B152)</f>
        <v/>
      </c>
      <c r="H152" s="12">
        <f>IF($A152="","",F152)</f>
        <v/>
      </c>
      <c r="I152" s="11">
        <f>IF($A152="","",IFERROR(C152/B152,0))</f>
        <v/>
      </c>
      <c r="J152" s="12">
        <f>IF($A152="","",B152)</f>
        <v/>
      </c>
      <c r="K152" s="14">
        <f>IF($A152="","",IFERROR(B152/Social!B152,0))</f>
        <v/>
      </c>
      <c r="L152" s="11">
        <f>IF($A152="","",IFERROR(E152/F152,0))</f>
        <v/>
      </c>
    </row>
    <row r="153" ht="22" customHeight="1">
      <c r="A153" s="9" t="n"/>
      <c r="B153" s="10" t="n"/>
      <c r="C153" s="10" t="n"/>
      <c r="D153" s="10" t="n"/>
      <c r="E153" s="10" t="n"/>
      <c r="F153" s="10" t="n"/>
      <c r="G153" s="12">
        <f>IF($A153="","",B153)</f>
        <v/>
      </c>
      <c r="H153" s="12">
        <f>IF($A153="","",F153)</f>
        <v/>
      </c>
      <c r="I153" s="11">
        <f>IF($A153="","",IFERROR(C153/B153,0))</f>
        <v/>
      </c>
      <c r="J153" s="12">
        <f>IF($A153="","",B153)</f>
        <v/>
      </c>
      <c r="K153" s="14">
        <f>IF($A153="","",IFERROR(B153/Social!B153,0))</f>
        <v/>
      </c>
      <c r="L153" s="11">
        <f>IF($A153="","",IFERROR(E153/F153,0))</f>
        <v/>
      </c>
    </row>
    <row r="154" ht="22" customHeight="1">
      <c r="A154" s="9" t="n"/>
      <c r="B154" s="10" t="n"/>
      <c r="C154" s="10" t="n"/>
      <c r="D154" s="10" t="n"/>
      <c r="E154" s="10" t="n"/>
      <c r="F154" s="10" t="n"/>
      <c r="G154" s="12">
        <f>IF($A154="","",B154)</f>
        <v/>
      </c>
      <c r="H154" s="12">
        <f>IF($A154="","",F154)</f>
        <v/>
      </c>
      <c r="I154" s="11">
        <f>IF($A154="","",IFERROR(C154/B154,0))</f>
        <v/>
      </c>
      <c r="J154" s="12">
        <f>IF($A154="","",B154)</f>
        <v/>
      </c>
      <c r="K154" s="14">
        <f>IF($A154="","",IFERROR(B154/Social!B154,0))</f>
        <v/>
      </c>
      <c r="L154" s="11">
        <f>IF($A154="","",IFERROR(E154/F154,0))</f>
        <v/>
      </c>
    </row>
    <row r="155" ht="22" customHeight="1">
      <c r="A155" s="9" t="n"/>
      <c r="B155" s="10" t="n"/>
      <c r="C155" s="10" t="n"/>
      <c r="D155" s="10" t="n"/>
      <c r="E155" s="10" t="n"/>
      <c r="F155" s="10" t="n"/>
      <c r="G155" s="12">
        <f>IF($A155="","",B155)</f>
        <v/>
      </c>
      <c r="H155" s="12">
        <f>IF($A155="","",F155)</f>
        <v/>
      </c>
      <c r="I155" s="11">
        <f>IF($A155="","",IFERROR(C155/B155,0))</f>
        <v/>
      </c>
      <c r="J155" s="12">
        <f>IF($A155="","",B155)</f>
        <v/>
      </c>
      <c r="K155" s="14">
        <f>IF($A155="","",IFERROR(B155/Social!B155,0))</f>
        <v/>
      </c>
      <c r="L155" s="11">
        <f>IF($A155="","",IFERROR(E155/F155,0))</f>
        <v/>
      </c>
    </row>
    <row r="156" ht="22" customHeight="1">
      <c r="A156" s="9" t="n"/>
      <c r="B156" s="10" t="n"/>
      <c r="C156" s="10" t="n"/>
      <c r="D156" s="10" t="n"/>
      <c r="E156" s="10" t="n"/>
      <c r="F156" s="10" t="n"/>
      <c r="G156" s="12">
        <f>IF($A156="","",B156)</f>
        <v/>
      </c>
      <c r="H156" s="12">
        <f>IF($A156="","",F156)</f>
        <v/>
      </c>
      <c r="I156" s="11">
        <f>IF($A156="","",IFERROR(C156/B156,0))</f>
        <v/>
      </c>
      <c r="J156" s="12">
        <f>IF($A156="","",B156)</f>
        <v/>
      </c>
      <c r="K156" s="14">
        <f>IF($A156="","",IFERROR(B156/Social!B156,0))</f>
        <v/>
      </c>
      <c r="L156" s="11">
        <f>IF($A156="","",IFERROR(E156/F156,0))</f>
        <v/>
      </c>
    </row>
    <row r="157" ht="22" customHeight="1">
      <c r="A157" s="9" t="n"/>
      <c r="B157" s="10" t="n"/>
      <c r="C157" s="10" t="n"/>
      <c r="D157" s="10" t="n"/>
      <c r="E157" s="10" t="n"/>
      <c r="F157" s="10" t="n"/>
      <c r="G157" s="12">
        <f>IF($A157="","",B157)</f>
        <v/>
      </c>
      <c r="H157" s="12">
        <f>IF($A157="","",F157)</f>
        <v/>
      </c>
      <c r="I157" s="11">
        <f>IF($A157="","",IFERROR(C157/B157,0))</f>
        <v/>
      </c>
      <c r="J157" s="12">
        <f>IF($A157="","",B157)</f>
        <v/>
      </c>
      <c r="K157" s="14">
        <f>IF($A157="","",IFERROR(B157/Social!B157,0))</f>
        <v/>
      </c>
      <c r="L157" s="11">
        <f>IF($A157="","",IFERROR(E157/F157,0))</f>
        <v/>
      </c>
    </row>
    <row r="158" ht="22" customHeight="1">
      <c r="A158" s="9" t="n"/>
      <c r="B158" s="10" t="n"/>
      <c r="C158" s="10" t="n"/>
      <c r="D158" s="10" t="n"/>
      <c r="E158" s="10" t="n"/>
      <c r="F158" s="10" t="n"/>
      <c r="G158" s="12">
        <f>IF($A158="","",B158)</f>
        <v/>
      </c>
      <c r="H158" s="12">
        <f>IF($A158="","",F158)</f>
        <v/>
      </c>
      <c r="I158" s="11">
        <f>IF($A158="","",IFERROR(C158/B158,0))</f>
        <v/>
      </c>
      <c r="J158" s="12">
        <f>IF($A158="","",B158)</f>
        <v/>
      </c>
      <c r="K158" s="14">
        <f>IF($A158="","",IFERROR(B158/Social!B158,0))</f>
        <v/>
      </c>
      <c r="L158" s="11">
        <f>IF($A158="","",IFERROR(E158/F158,0))</f>
        <v/>
      </c>
    </row>
    <row r="159" ht="22" customHeight="1">
      <c r="A159" s="9" t="n"/>
      <c r="B159" s="10" t="n"/>
      <c r="C159" s="10" t="n"/>
      <c r="D159" s="10" t="n"/>
      <c r="E159" s="10" t="n"/>
      <c r="F159" s="10" t="n"/>
      <c r="G159" s="12">
        <f>IF($A159="","",B159)</f>
        <v/>
      </c>
      <c r="H159" s="12">
        <f>IF($A159="","",F159)</f>
        <v/>
      </c>
      <c r="I159" s="11">
        <f>IF($A159="","",IFERROR(C159/B159,0))</f>
        <v/>
      </c>
      <c r="J159" s="12">
        <f>IF($A159="","",B159)</f>
        <v/>
      </c>
      <c r="K159" s="14">
        <f>IF($A159="","",IFERROR(B159/Social!B159,0))</f>
        <v/>
      </c>
      <c r="L159" s="11">
        <f>IF($A159="","",IFERROR(E159/F159,0))</f>
        <v/>
      </c>
    </row>
    <row r="160" ht="22" customHeight="1">
      <c r="A160" s="9" t="n"/>
      <c r="B160" s="10" t="n"/>
      <c r="C160" s="10" t="n"/>
      <c r="D160" s="10" t="n"/>
      <c r="E160" s="10" t="n"/>
      <c r="F160" s="10" t="n"/>
      <c r="G160" s="12">
        <f>IF($A160="","",B160)</f>
        <v/>
      </c>
      <c r="H160" s="12">
        <f>IF($A160="","",F160)</f>
        <v/>
      </c>
      <c r="I160" s="11">
        <f>IF($A160="","",IFERROR(C160/B160,0))</f>
        <v/>
      </c>
      <c r="J160" s="12">
        <f>IF($A160="","",B160)</f>
        <v/>
      </c>
      <c r="K160" s="14">
        <f>IF($A160="","",IFERROR(B160/Social!B160,0))</f>
        <v/>
      </c>
      <c r="L160" s="11">
        <f>IF($A160="","",IFERROR(E160/F160,0))</f>
        <v/>
      </c>
    </row>
    <row r="161" ht="22" customHeight="1">
      <c r="A161" s="9" t="n"/>
      <c r="B161" s="10" t="n"/>
      <c r="C161" s="10" t="n"/>
      <c r="D161" s="10" t="n"/>
      <c r="E161" s="10" t="n"/>
      <c r="F161" s="10" t="n"/>
      <c r="G161" s="12">
        <f>IF($A161="","",B161)</f>
        <v/>
      </c>
      <c r="H161" s="12">
        <f>IF($A161="","",F161)</f>
        <v/>
      </c>
      <c r="I161" s="11">
        <f>IF($A161="","",IFERROR(C161/B161,0))</f>
        <v/>
      </c>
      <c r="J161" s="12">
        <f>IF($A161="","",B161)</f>
        <v/>
      </c>
      <c r="K161" s="14">
        <f>IF($A161="","",IFERROR(B161/Social!B161,0))</f>
        <v/>
      </c>
      <c r="L161" s="11">
        <f>IF($A161="","",IFERROR(E161/F161,0))</f>
        <v/>
      </c>
    </row>
    <row r="162" ht="22" customHeight="1">
      <c r="A162" s="9" t="n"/>
      <c r="B162" s="10" t="n"/>
      <c r="C162" s="10" t="n"/>
      <c r="D162" s="10" t="n"/>
      <c r="E162" s="10" t="n"/>
      <c r="F162" s="10" t="n"/>
      <c r="G162" s="12">
        <f>IF($A162="","",B162)</f>
        <v/>
      </c>
      <c r="H162" s="12">
        <f>IF($A162="","",F162)</f>
        <v/>
      </c>
      <c r="I162" s="11">
        <f>IF($A162="","",IFERROR(C162/B162,0))</f>
        <v/>
      </c>
      <c r="J162" s="12">
        <f>IF($A162="","",B162)</f>
        <v/>
      </c>
      <c r="K162" s="14">
        <f>IF($A162="","",IFERROR(B162/Social!B162,0))</f>
        <v/>
      </c>
      <c r="L162" s="11">
        <f>IF($A162="","",IFERROR(E162/F162,0))</f>
        <v/>
      </c>
    </row>
    <row r="163" ht="22" customHeight="1">
      <c r="A163" s="9" t="n"/>
      <c r="B163" s="10" t="n"/>
      <c r="C163" s="10" t="n"/>
      <c r="D163" s="10" t="n"/>
      <c r="E163" s="10" t="n"/>
      <c r="F163" s="10" t="n"/>
      <c r="G163" s="12">
        <f>IF($A163="","",B163)</f>
        <v/>
      </c>
      <c r="H163" s="12">
        <f>IF($A163="","",F163)</f>
        <v/>
      </c>
      <c r="I163" s="11">
        <f>IF($A163="","",IFERROR(C163/B163,0))</f>
        <v/>
      </c>
      <c r="J163" s="12">
        <f>IF($A163="","",B163)</f>
        <v/>
      </c>
      <c r="K163" s="14">
        <f>IF($A163="","",IFERROR(B163/Social!B163,0))</f>
        <v/>
      </c>
      <c r="L163" s="11">
        <f>IF($A163="","",IFERROR(E163/F163,0))</f>
        <v/>
      </c>
    </row>
    <row r="164" ht="22" customHeight="1">
      <c r="A164" s="9" t="n"/>
      <c r="B164" s="10" t="n"/>
      <c r="C164" s="10" t="n"/>
      <c r="D164" s="10" t="n"/>
      <c r="E164" s="10" t="n"/>
      <c r="F164" s="10" t="n"/>
      <c r="G164" s="12">
        <f>IF($A164="","",B164)</f>
        <v/>
      </c>
      <c r="H164" s="12">
        <f>IF($A164="","",F164)</f>
        <v/>
      </c>
      <c r="I164" s="11">
        <f>IF($A164="","",IFERROR(C164/B164,0))</f>
        <v/>
      </c>
      <c r="J164" s="12">
        <f>IF($A164="","",B164)</f>
        <v/>
      </c>
      <c r="K164" s="14">
        <f>IF($A164="","",IFERROR(B164/Social!B164,0))</f>
        <v/>
      </c>
      <c r="L164" s="11">
        <f>IF($A164="","",IFERROR(E164/F164,0))</f>
        <v/>
      </c>
    </row>
    <row r="165" ht="22" customHeight="1">
      <c r="A165" s="9" t="n"/>
      <c r="B165" s="10" t="n"/>
      <c r="C165" s="10" t="n"/>
      <c r="D165" s="10" t="n"/>
      <c r="E165" s="10" t="n"/>
      <c r="F165" s="10" t="n"/>
      <c r="G165" s="12">
        <f>IF($A165="","",B165)</f>
        <v/>
      </c>
      <c r="H165" s="12">
        <f>IF($A165="","",F165)</f>
        <v/>
      </c>
      <c r="I165" s="11">
        <f>IF($A165="","",IFERROR(C165/B165,0))</f>
        <v/>
      </c>
      <c r="J165" s="12">
        <f>IF($A165="","",B165)</f>
        <v/>
      </c>
      <c r="K165" s="14">
        <f>IF($A165="","",IFERROR(B165/Social!B165,0))</f>
        <v/>
      </c>
      <c r="L165" s="11">
        <f>IF($A165="","",IFERROR(E165/F165,0))</f>
        <v/>
      </c>
    </row>
    <row r="166" ht="22" customHeight="1">
      <c r="A166" s="9" t="n"/>
      <c r="B166" s="10" t="n"/>
      <c r="C166" s="10" t="n"/>
      <c r="D166" s="10" t="n"/>
      <c r="E166" s="10" t="n"/>
      <c r="F166" s="10" t="n"/>
      <c r="G166" s="12">
        <f>IF($A166="","",B166)</f>
        <v/>
      </c>
      <c r="H166" s="12">
        <f>IF($A166="","",F166)</f>
        <v/>
      </c>
      <c r="I166" s="11">
        <f>IF($A166="","",IFERROR(C166/B166,0))</f>
        <v/>
      </c>
      <c r="J166" s="12">
        <f>IF($A166="","",B166)</f>
        <v/>
      </c>
      <c r="K166" s="14">
        <f>IF($A166="","",IFERROR(B166/Social!B166,0))</f>
        <v/>
      </c>
      <c r="L166" s="11">
        <f>IF($A166="","",IFERROR(E166/F166,0))</f>
        <v/>
      </c>
    </row>
    <row r="167" ht="22" customHeight="1">
      <c r="A167" s="9" t="n"/>
      <c r="B167" s="10" t="n"/>
      <c r="C167" s="10" t="n"/>
      <c r="D167" s="10" t="n"/>
      <c r="E167" s="10" t="n"/>
      <c r="F167" s="10" t="n"/>
      <c r="G167" s="12">
        <f>IF($A167="","",B167)</f>
        <v/>
      </c>
      <c r="H167" s="12">
        <f>IF($A167="","",F167)</f>
        <v/>
      </c>
      <c r="I167" s="11">
        <f>IF($A167="","",IFERROR(C167/B167,0))</f>
        <v/>
      </c>
      <c r="J167" s="12">
        <f>IF($A167="","",B167)</f>
        <v/>
      </c>
      <c r="K167" s="14">
        <f>IF($A167="","",IFERROR(B167/Social!B167,0))</f>
        <v/>
      </c>
      <c r="L167" s="11">
        <f>IF($A167="","",IFERROR(E167/F167,0))</f>
        <v/>
      </c>
    </row>
    <row r="168" ht="22" customHeight="1">
      <c r="A168" s="9" t="n"/>
      <c r="B168" s="10" t="n"/>
      <c r="C168" s="10" t="n"/>
      <c r="D168" s="10" t="n"/>
      <c r="E168" s="10" t="n"/>
      <c r="F168" s="10" t="n"/>
      <c r="G168" s="12">
        <f>IF($A168="","",B168)</f>
        <v/>
      </c>
      <c r="H168" s="12">
        <f>IF($A168="","",F168)</f>
        <v/>
      </c>
      <c r="I168" s="11">
        <f>IF($A168="","",IFERROR(C168/B168,0))</f>
        <v/>
      </c>
      <c r="J168" s="12">
        <f>IF($A168="","",B168)</f>
        <v/>
      </c>
      <c r="K168" s="14">
        <f>IF($A168="","",IFERROR(B168/Social!B168,0))</f>
        <v/>
      </c>
      <c r="L168" s="11">
        <f>IF($A168="","",IFERROR(E168/F168,0))</f>
        <v/>
      </c>
    </row>
    <row r="169" ht="22" customHeight="1">
      <c r="A169" s="9" t="n"/>
      <c r="B169" s="10" t="n"/>
      <c r="C169" s="10" t="n"/>
      <c r="D169" s="10" t="n"/>
      <c r="E169" s="10" t="n"/>
      <c r="F169" s="10" t="n"/>
      <c r="G169" s="12">
        <f>IF($A169="","",B169)</f>
        <v/>
      </c>
      <c r="H169" s="12">
        <f>IF($A169="","",F169)</f>
        <v/>
      </c>
      <c r="I169" s="11">
        <f>IF($A169="","",IFERROR(C169/B169,0))</f>
        <v/>
      </c>
      <c r="J169" s="12">
        <f>IF($A169="","",B169)</f>
        <v/>
      </c>
      <c r="K169" s="14">
        <f>IF($A169="","",IFERROR(B169/Social!B169,0))</f>
        <v/>
      </c>
      <c r="L169" s="11">
        <f>IF($A169="","",IFERROR(E169/F169,0))</f>
        <v/>
      </c>
    </row>
    <row r="170" ht="22" customHeight="1">
      <c r="A170" s="9" t="n"/>
      <c r="B170" s="10" t="n"/>
      <c r="C170" s="10" t="n"/>
      <c r="D170" s="10" t="n"/>
      <c r="E170" s="10" t="n"/>
      <c r="F170" s="10" t="n"/>
      <c r="G170" s="12">
        <f>IF($A170="","",B170)</f>
        <v/>
      </c>
      <c r="H170" s="12">
        <f>IF($A170="","",F170)</f>
        <v/>
      </c>
      <c r="I170" s="11">
        <f>IF($A170="","",IFERROR(C170/B170,0))</f>
        <v/>
      </c>
      <c r="J170" s="12">
        <f>IF($A170="","",B170)</f>
        <v/>
      </c>
      <c r="K170" s="14">
        <f>IF($A170="","",IFERROR(B170/Social!B170,0))</f>
        <v/>
      </c>
      <c r="L170" s="11">
        <f>IF($A170="","",IFERROR(E170/F170,0))</f>
        <v/>
      </c>
    </row>
    <row r="171" ht="22" customHeight="1">
      <c r="A171" s="9" t="n"/>
      <c r="B171" s="10" t="n"/>
      <c r="C171" s="10" t="n"/>
      <c r="D171" s="10" t="n"/>
      <c r="E171" s="10" t="n"/>
      <c r="F171" s="10" t="n"/>
      <c r="G171" s="12">
        <f>IF($A171="","",B171)</f>
        <v/>
      </c>
      <c r="H171" s="12">
        <f>IF($A171="","",F171)</f>
        <v/>
      </c>
      <c r="I171" s="11">
        <f>IF($A171="","",IFERROR(C171/B171,0))</f>
        <v/>
      </c>
      <c r="J171" s="12">
        <f>IF($A171="","",B171)</f>
        <v/>
      </c>
      <c r="K171" s="14">
        <f>IF($A171="","",IFERROR(B171/Social!B171,0))</f>
        <v/>
      </c>
      <c r="L171" s="11">
        <f>IF($A171="","",IFERROR(E171/F171,0))</f>
        <v/>
      </c>
    </row>
    <row r="172" ht="22" customHeight="1">
      <c r="A172" s="9" t="n"/>
      <c r="B172" s="10" t="n"/>
      <c r="C172" s="10" t="n"/>
      <c r="D172" s="10" t="n"/>
      <c r="E172" s="10" t="n"/>
      <c r="F172" s="10" t="n"/>
      <c r="G172" s="12">
        <f>IF($A172="","",B172)</f>
        <v/>
      </c>
      <c r="H172" s="12">
        <f>IF($A172="","",F172)</f>
        <v/>
      </c>
      <c r="I172" s="11">
        <f>IF($A172="","",IFERROR(C172/B172,0))</f>
        <v/>
      </c>
      <c r="J172" s="12">
        <f>IF($A172="","",B172)</f>
        <v/>
      </c>
      <c r="K172" s="14">
        <f>IF($A172="","",IFERROR(B172/Social!B172,0))</f>
        <v/>
      </c>
      <c r="L172" s="11">
        <f>IF($A172="","",IFERROR(E172/F172,0))</f>
        <v/>
      </c>
    </row>
    <row r="173" ht="22" customHeight="1">
      <c r="A173" s="9" t="n"/>
      <c r="B173" s="10" t="n"/>
      <c r="C173" s="10" t="n"/>
      <c r="D173" s="10" t="n"/>
      <c r="E173" s="10" t="n"/>
      <c r="F173" s="10" t="n"/>
      <c r="G173" s="12">
        <f>IF($A173="","",B173)</f>
        <v/>
      </c>
      <c r="H173" s="12">
        <f>IF($A173="","",F173)</f>
        <v/>
      </c>
      <c r="I173" s="11">
        <f>IF($A173="","",IFERROR(C173/B173,0))</f>
        <v/>
      </c>
      <c r="J173" s="12">
        <f>IF($A173="","",B173)</f>
        <v/>
      </c>
      <c r="K173" s="14">
        <f>IF($A173="","",IFERROR(B173/Social!B173,0))</f>
        <v/>
      </c>
      <c r="L173" s="11">
        <f>IF($A173="","",IFERROR(E173/F173,0))</f>
        <v/>
      </c>
    </row>
    <row r="174" ht="22" customHeight="1">
      <c r="A174" s="9" t="n"/>
      <c r="B174" s="10" t="n"/>
      <c r="C174" s="10" t="n"/>
      <c r="D174" s="10" t="n"/>
      <c r="E174" s="10" t="n"/>
      <c r="F174" s="10" t="n"/>
      <c r="G174" s="12">
        <f>IF($A174="","",B174)</f>
        <v/>
      </c>
      <c r="H174" s="12">
        <f>IF($A174="","",F174)</f>
        <v/>
      </c>
      <c r="I174" s="11">
        <f>IF($A174="","",IFERROR(C174/B174,0))</f>
        <v/>
      </c>
      <c r="J174" s="12">
        <f>IF($A174="","",B174)</f>
        <v/>
      </c>
      <c r="K174" s="14">
        <f>IF($A174="","",IFERROR(B174/Social!B174,0))</f>
        <v/>
      </c>
      <c r="L174" s="11">
        <f>IF($A174="","",IFERROR(E174/F174,0))</f>
        <v/>
      </c>
    </row>
    <row r="175" ht="22" customHeight="1">
      <c r="A175" s="9" t="n"/>
      <c r="B175" s="10" t="n"/>
      <c r="C175" s="10" t="n"/>
      <c r="D175" s="10" t="n"/>
      <c r="E175" s="10" t="n"/>
      <c r="F175" s="10" t="n"/>
      <c r="G175" s="12">
        <f>IF($A175="","",B175)</f>
        <v/>
      </c>
      <c r="H175" s="12">
        <f>IF($A175="","",F175)</f>
        <v/>
      </c>
      <c r="I175" s="11">
        <f>IF($A175="","",IFERROR(C175/B175,0))</f>
        <v/>
      </c>
      <c r="J175" s="12">
        <f>IF($A175="","",B175)</f>
        <v/>
      </c>
      <c r="K175" s="14">
        <f>IF($A175="","",IFERROR(B175/Social!B175,0))</f>
        <v/>
      </c>
      <c r="L175" s="11">
        <f>IF($A175="","",IFERROR(E175/F175,0))</f>
        <v/>
      </c>
    </row>
    <row r="176" ht="22" customHeight="1">
      <c r="A176" s="9" t="n"/>
      <c r="B176" s="10" t="n"/>
      <c r="C176" s="10" t="n"/>
      <c r="D176" s="10" t="n"/>
      <c r="E176" s="10" t="n"/>
      <c r="F176" s="10" t="n"/>
      <c r="G176" s="12">
        <f>IF($A176="","",B176)</f>
        <v/>
      </c>
      <c r="H176" s="12">
        <f>IF($A176="","",F176)</f>
        <v/>
      </c>
      <c r="I176" s="11">
        <f>IF($A176="","",IFERROR(C176/B176,0))</f>
        <v/>
      </c>
      <c r="J176" s="12">
        <f>IF($A176="","",B176)</f>
        <v/>
      </c>
      <c r="K176" s="14">
        <f>IF($A176="","",IFERROR(B176/Social!B176,0))</f>
        <v/>
      </c>
      <c r="L176" s="11">
        <f>IF($A176="","",IFERROR(E176/F176,0))</f>
        <v/>
      </c>
    </row>
    <row r="177" ht="22" customHeight="1">
      <c r="A177" s="9" t="n"/>
      <c r="B177" s="10" t="n"/>
      <c r="C177" s="10" t="n"/>
      <c r="D177" s="10" t="n"/>
      <c r="E177" s="10" t="n"/>
      <c r="F177" s="10" t="n"/>
      <c r="G177" s="12">
        <f>IF($A177="","",B177)</f>
        <v/>
      </c>
      <c r="H177" s="12">
        <f>IF($A177="","",F177)</f>
        <v/>
      </c>
      <c r="I177" s="11">
        <f>IF($A177="","",IFERROR(C177/B177,0))</f>
        <v/>
      </c>
      <c r="J177" s="12">
        <f>IF($A177="","",B177)</f>
        <v/>
      </c>
      <c r="K177" s="14">
        <f>IF($A177="","",IFERROR(B177/Social!B177,0))</f>
        <v/>
      </c>
      <c r="L177" s="11">
        <f>IF($A177="","",IFERROR(E177/F177,0))</f>
        <v/>
      </c>
    </row>
    <row r="178" ht="22" customHeight="1">
      <c r="A178" s="9" t="n"/>
      <c r="B178" s="10" t="n"/>
      <c r="C178" s="10" t="n"/>
      <c r="D178" s="10" t="n"/>
      <c r="E178" s="10" t="n"/>
      <c r="F178" s="10" t="n"/>
      <c r="G178" s="12">
        <f>IF($A178="","",B178)</f>
        <v/>
      </c>
      <c r="H178" s="12">
        <f>IF($A178="","",F178)</f>
        <v/>
      </c>
      <c r="I178" s="11">
        <f>IF($A178="","",IFERROR(C178/B178,0))</f>
        <v/>
      </c>
      <c r="J178" s="12">
        <f>IF($A178="","",B178)</f>
        <v/>
      </c>
      <c r="K178" s="14">
        <f>IF($A178="","",IFERROR(B178/Social!B178,0))</f>
        <v/>
      </c>
      <c r="L178" s="11">
        <f>IF($A178="","",IFERROR(E178/F178,0))</f>
        <v/>
      </c>
    </row>
    <row r="179" ht="22" customHeight="1">
      <c r="A179" s="9" t="n"/>
      <c r="B179" s="10" t="n"/>
      <c r="C179" s="10" t="n"/>
      <c r="D179" s="10" t="n"/>
      <c r="E179" s="10" t="n"/>
      <c r="F179" s="10" t="n"/>
      <c r="G179" s="12">
        <f>IF($A179="","",B179)</f>
        <v/>
      </c>
      <c r="H179" s="12">
        <f>IF($A179="","",F179)</f>
        <v/>
      </c>
      <c r="I179" s="11">
        <f>IF($A179="","",IFERROR(C179/B179,0))</f>
        <v/>
      </c>
      <c r="J179" s="12">
        <f>IF($A179="","",B179)</f>
        <v/>
      </c>
      <c r="K179" s="14">
        <f>IF($A179="","",IFERROR(B179/Social!B179,0))</f>
        <v/>
      </c>
      <c r="L179" s="11">
        <f>IF($A179="","",IFERROR(E179/F179,0))</f>
        <v/>
      </c>
    </row>
    <row r="180" ht="22" customHeight="1">
      <c r="A180" s="9" t="n"/>
      <c r="B180" s="10" t="n"/>
      <c r="C180" s="10" t="n"/>
      <c r="D180" s="10" t="n"/>
      <c r="E180" s="10" t="n"/>
      <c r="F180" s="10" t="n"/>
      <c r="G180" s="12">
        <f>IF($A180="","",B180)</f>
        <v/>
      </c>
      <c r="H180" s="12">
        <f>IF($A180="","",F180)</f>
        <v/>
      </c>
      <c r="I180" s="11">
        <f>IF($A180="","",IFERROR(C180/B180,0))</f>
        <v/>
      </c>
      <c r="J180" s="12">
        <f>IF($A180="","",B180)</f>
        <v/>
      </c>
      <c r="K180" s="14">
        <f>IF($A180="","",IFERROR(B180/Social!B180,0))</f>
        <v/>
      </c>
      <c r="L180" s="11">
        <f>IF($A180="","",IFERROR(E180/F180,0))</f>
        <v/>
      </c>
    </row>
    <row r="181" ht="22" customHeight="1">
      <c r="A181" s="9" t="n"/>
      <c r="B181" s="10" t="n"/>
      <c r="C181" s="10" t="n"/>
      <c r="D181" s="10" t="n"/>
      <c r="E181" s="10" t="n"/>
      <c r="F181" s="10" t="n"/>
      <c r="G181" s="12">
        <f>IF($A181="","",B181)</f>
        <v/>
      </c>
      <c r="H181" s="12">
        <f>IF($A181="","",F181)</f>
        <v/>
      </c>
      <c r="I181" s="11">
        <f>IF($A181="","",IFERROR(C181/B181,0))</f>
        <v/>
      </c>
      <c r="J181" s="12">
        <f>IF($A181="","",B181)</f>
        <v/>
      </c>
      <c r="K181" s="14">
        <f>IF($A181="","",IFERROR(B181/Social!B181,0))</f>
        <v/>
      </c>
      <c r="L181" s="11">
        <f>IF($A181="","",IFERROR(E181/F181,0))</f>
        <v/>
      </c>
    </row>
    <row r="182" ht="22" customHeight="1">
      <c r="A182" s="9" t="n"/>
      <c r="B182" s="10" t="n"/>
      <c r="C182" s="10" t="n"/>
      <c r="D182" s="10" t="n"/>
      <c r="E182" s="10" t="n"/>
      <c r="F182" s="10" t="n"/>
      <c r="G182" s="12">
        <f>IF($A182="","",B182)</f>
        <v/>
      </c>
      <c r="H182" s="12">
        <f>IF($A182="","",F182)</f>
        <v/>
      </c>
      <c r="I182" s="11">
        <f>IF($A182="","",IFERROR(C182/B182,0))</f>
        <v/>
      </c>
      <c r="J182" s="12">
        <f>IF($A182="","",B182)</f>
        <v/>
      </c>
      <c r="K182" s="14">
        <f>IF($A182="","",IFERROR(B182/Social!B182,0))</f>
        <v/>
      </c>
      <c r="L182" s="11">
        <f>IF($A182="","",IFERROR(E182/F182,0))</f>
        <v/>
      </c>
    </row>
    <row r="183" ht="22" customHeight="1">
      <c r="A183" s="9" t="n"/>
      <c r="B183" s="10" t="n"/>
      <c r="C183" s="10" t="n"/>
      <c r="D183" s="10" t="n"/>
      <c r="E183" s="10" t="n"/>
      <c r="F183" s="10" t="n"/>
      <c r="G183" s="12">
        <f>IF($A183="","",B183)</f>
        <v/>
      </c>
      <c r="H183" s="12">
        <f>IF($A183="","",F183)</f>
        <v/>
      </c>
      <c r="I183" s="11">
        <f>IF($A183="","",IFERROR(C183/B183,0))</f>
        <v/>
      </c>
      <c r="J183" s="12">
        <f>IF($A183="","",B183)</f>
        <v/>
      </c>
      <c r="K183" s="14">
        <f>IF($A183="","",IFERROR(B183/Social!B183,0))</f>
        <v/>
      </c>
      <c r="L183" s="11">
        <f>IF($A183="","",IFERROR(E183/F183,0))</f>
        <v/>
      </c>
    </row>
    <row r="184" ht="22" customHeight="1">
      <c r="A184" s="9" t="n"/>
      <c r="B184" s="10" t="n"/>
      <c r="C184" s="10" t="n"/>
      <c r="D184" s="10" t="n"/>
      <c r="E184" s="10" t="n"/>
      <c r="F184" s="10" t="n"/>
      <c r="G184" s="12">
        <f>IF($A184="","",B184)</f>
        <v/>
      </c>
      <c r="H184" s="12">
        <f>IF($A184="","",F184)</f>
        <v/>
      </c>
      <c r="I184" s="11">
        <f>IF($A184="","",IFERROR(C184/B184,0))</f>
        <v/>
      </c>
      <c r="J184" s="12">
        <f>IF($A184="","",B184)</f>
        <v/>
      </c>
      <c r="K184" s="14">
        <f>IF($A184="","",IFERROR(B184/Social!B184,0))</f>
        <v/>
      </c>
      <c r="L184" s="11">
        <f>IF($A184="","",IFERROR(E184/F184,0))</f>
        <v/>
      </c>
    </row>
    <row r="185" ht="22" customHeight="1">
      <c r="A185" s="9" t="n"/>
      <c r="B185" s="10" t="n"/>
      <c r="C185" s="10" t="n"/>
      <c r="D185" s="10" t="n"/>
      <c r="E185" s="10" t="n"/>
      <c r="F185" s="10" t="n"/>
      <c r="G185" s="12">
        <f>IF($A185="","",B185)</f>
        <v/>
      </c>
      <c r="H185" s="12">
        <f>IF($A185="","",F185)</f>
        <v/>
      </c>
      <c r="I185" s="11">
        <f>IF($A185="","",IFERROR(C185/B185,0))</f>
        <v/>
      </c>
      <c r="J185" s="12">
        <f>IF($A185="","",B185)</f>
        <v/>
      </c>
      <c r="K185" s="14">
        <f>IF($A185="","",IFERROR(B185/Social!B185,0))</f>
        <v/>
      </c>
      <c r="L185" s="11">
        <f>IF($A185="","",IFERROR(E185/F185,0))</f>
        <v/>
      </c>
    </row>
    <row r="186" ht="22" customHeight="1">
      <c r="A186" s="9" t="n"/>
      <c r="B186" s="10" t="n"/>
      <c r="C186" s="10" t="n"/>
      <c r="D186" s="10" t="n"/>
      <c r="E186" s="10" t="n"/>
      <c r="F186" s="10" t="n"/>
      <c r="G186" s="12">
        <f>IF($A186="","",B186)</f>
        <v/>
      </c>
      <c r="H186" s="12">
        <f>IF($A186="","",F186)</f>
        <v/>
      </c>
      <c r="I186" s="11">
        <f>IF($A186="","",IFERROR(C186/B186,0))</f>
        <v/>
      </c>
      <c r="J186" s="12">
        <f>IF($A186="","",B186)</f>
        <v/>
      </c>
      <c r="K186" s="14">
        <f>IF($A186="","",IFERROR(B186/Social!B186,0))</f>
        <v/>
      </c>
      <c r="L186" s="11">
        <f>IF($A186="","",IFERROR(E186/F186,0))</f>
        <v/>
      </c>
    </row>
    <row r="187" ht="22" customHeight="1">
      <c r="A187" s="9" t="n"/>
      <c r="B187" s="10" t="n"/>
      <c r="C187" s="10" t="n"/>
      <c r="D187" s="10" t="n"/>
      <c r="E187" s="10" t="n"/>
      <c r="F187" s="10" t="n"/>
      <c r="G187" s="12">
        <f>IF($A187="","",B187)</f>
        <v/>
      </c>
      <c r="H187" s="12">
        <f>IF($A187="","",F187)</f>
        <v/>
      </c>
      <c r="I187" s="11">
        <f>IF($A187="","",IFERROR(C187/B187,0))</f>
        <v/>
      </c>
      <c r="J187" s="12">
        <f>IF($A187="","",B187)</f>
        <v/>
      </c>
      <c r="K187" s="14">
        <f>IF($A187="","",IFERROR(B187/Social!B187,0))</f>
        <v/>
      </c>
      <c r="L187" s="11">
        <f>IF($A187="","",IFERROR(E187/F187,0))</f>
        <v/>
      </c>
    </row>
    <row r="188" ht="22" customHeight="1">
      <c r="A188" s="9" t="n"/>
      <c r="B188" s="10" t="n"/>
      <c r="C188" s="10" t="n"/>
      <c r="D188" s="10" t="n"/>
      <c r="E188" s="10" t="n"/>
      <c r="F188" s="10" t="n"/>
      <c r="G188" s="12">
        <f>IF($A188="","",B188)</f>
        <v/>
      </c>
      <c r="H188" s="12">
        <f>IF($A188="","",F188)</f>
        <v/>
      </c>
      <c r="I188" s="11">
        <f>IF($A188="","",IFERROR(C188/B188,0))</f>
        <v/>
      </c>
      <c r="J188" s="12">
        <f>IF($A188="","",B188)</f>
        <v/>
      </c>
      <c r="K188" s="14">
        <f>IF($A188="","",IFERROR(B188/Social!B188,0))</f>
        <v/>
      </c>
      <c r="L188" s="11">
        <f>IF($A188="","",IFERROR(E188/F188,0))</f>
        <v/>
      </c>
    </row>
    <row r="189" ht="22" customHeight="1">
      <c r="A189" s="9" t="n"/>
      <c r="B189" s="10" t="n"/>
      <c r="C189" s="10" t="n"/>
      <c r="D189" s="10" t="n"/>
      <c r="E189" s="10" t="n"/>
      <c r="F189" s="10" t="n"/>
      <c r="G189" s="12">
        <f>IF($A189="","",B189)</f>
        <v/>
      </c>
      <c r="H189" s="12">
        <f>IF($A189="","",F189)</f>
        <v/>
      </c>
      <c r="I189" s="11">
        <f>IF($A189="","",IFERROR(C189/B189,0))</f>
        <v/>
      </c>
      <c r="J189" s="12">
        <f>IF($A189="","",B189)</f>
        <v/>
      </c>
      <c r="K189" s="14">
        <f>IF($A189="","",IFERROR(B189/Social!B189,0))</f>
        <v/>
      </c>
      <c r="L189" s="11">
        <f>IF($A189="","",IFERROR(E189/F189,0))</f>
        <v/>
      </c>
    </row>
    <row r="190" ht="22" customHeight="1">
      <c r="A190" s="9" t="n"/>
      <c r="B190" s="10" t="n"/>
      <c r="C190" s="10" t="n"/>
      <c r="D190" s="10" t="n"/>
      <c r="E190" s="10" t="n"/>
      <c r="F190" s="10" t="n"/>
      <c r="G190" s="12">
        <f>IF($A190="","",B190)</f>
        <v/>
      </c>
      <c r="H190" s="12">
        <f>IF($A190="","",F190)</f>
        <v/>
      </c>
      <c r="I190" s="11">
        <f>IF($A190="","",IFERROR(C190/B190,0))</f>
        <v/>
      </c>
      <c r="J190" s="12">
        <f>IF($A190="","",B190)</f>
        <v/>
      </c>
      <c r="K190" s="14">
        <f>IF($A190="","",IFERROR(B190/Social!B190,0))</f>
        <v/>
      </c>
      <c r="L190" s="11">
        <f>IF($A190="","",IFERROR(E190/F190,0))</f>
        <v/>
      </c>
    </row>
    <row r="191" ht="22" customHeight="1">
      <c r="A191" s="9" t="n"/>
      <c r="B191" s="10" t="n"/>
      <c r="C191" s="10" t="n"/>
      <c r="D191" s="10" t="n"/>
      <c r="E191" s="10" t="n"/>
      <c r="F191" s="10" t="n"/>
      <c r="G191" s="12">
        <f>IF($A191="","",B191)</f>
        <v/>
      </c>
      <c r="H191" s="12">
        <f>IF($A191="","",F191)</f>
        <v/>
      </c>
      <c r="I191" s="11">
        <f>IF($A191="","",IFERROR(C191/B191,0))</f>
        <v/>
      </c>
      <c r="J191" s="12">
        <f>IF($A191="","",B191)</f>
        <v/>
      </c>
      <c r="K191" s="14">
        <f>IF($A191="","",IFERROR(B191/Social!B191,0))</f>
        <v/>
      </c>
      <c r="L191" s="11">
        <f>IF($A191="","",IFERROR(E191/F191,0))</f>
        <v/>
      </c>
    </row>
    <row r="192" ht="22" customHeight="1">
      <c r="A192" s="9" t="n"/>
      <c r="B192" s="10" t="n"/>
      <c r="C192" s="10" t="n"/>
      <c r="D192" s="10" t="n"/>
      <c r="E192" s="10" t="n"/>
      <c r="F192" s="10" t="n"/>
      <c r="G192" s="12">
        <f>IF($A192="","",B192)</f>
        <v/>
      </c>
      <c r="H192" s="12">
        <f>IF($A192="","",F192)</f>
        <v/>
      </c>
      <c r="I192" s="11">
        <f>IF($A192="","",IFERROR(C192/B192,0))</f>
        <v/>
      </c>
      <c r="J192" s="12">
        <f>IF($A192="","",B192)</f>
        <v/>
      </c>
      <c r="K192" s="14">
        <f>IF($A192="","",IFERROR(B192/Social!B192,0))</f>
        <v/>
      </c>
      <c r="L192" s="11">
        <f>IF($A192="","",IFERROR(E192/F192,0))</f>
        <v/>
      </c>
    </row>
    <row r="193" ht="22" customHeight="1">
      <c r="A193" s="9" t="n"/>
      <c r="B193" s="10" t="n"/>
      <c r="C193" s="10" t="n"/>
      <c r="D193" s="10" t="n"/>
      <c r="E193" s="10" t="n"/>
      <c r="F193" s="10" t="n"/>
      <c r="G193" s="12">
        <f>IF($A193="","",B193)</f>
        <v/>
      </c>
      <c r="H193" s="12">
        <f>IF($A193="","",F193)</f>
        <v/>
      </c>
      <c r="I193" s="11">
        <f>IF($A193="","",IFERROR(C193/B193,0))</f>
        <v/>
      </c>
      <c r="J193" s="12">
        <f>IF($A193="","",B193)</f>
        <v/>
      </c>
      <c r="K193" s="14">
        <f>IF($A193="","",IFERROR(B193/Social!B193,0))</f>
        <v/>
      </c>
      <c r="L193" s="11">
        <f>IF($A193="","",IFERROR(E193/F193,0))</f>
        <v/>
      </c>
    </row>
    <row r="194" ht="22" customHeight="1">
      <c r="A194" s="9" t="n"/>
      <c r="B194" s="10" t="n"/>
      <c r="C194" s="10" t="n"/>
      <c r="D194" s="10" t="n"/>
      <c r="E194" s="10" t="n"/>
      <c r="F194" s="10" t="n"/>
      <c r="G194" s="12">
        <f>IF($A194="","",B194)</f>
        <v/>
      </c>
      <c r="H194" s="12">
        <f>IF($A194="","",F194)</f>
        <v/>
      </c>
      <c r="I194" s="11">
        <f>IF($A194="","",IFERROR(C194/B194,0))</f>
        <v/>
      </c>
      <c r="J194" s="12">
        <f>IF($A194="","",B194)</f>
        <v/>
      </c>
      <c r="K194" s="14">
        <f>IF($A194="","",IFERROR(B194/Social!B194,0))</f>
        <v/>
      </c>
      <c r="L194" s="11">
        <f>IF($A194="","",IFERROR(E194/F194,0))</f>
        <v/>
      </c>
    </row>
    <row r="195" ht="22" customHeight="1">
      <c r="A195" s="9" t="n"/>
      <c r="B195" s="10" t="n"/>
      <c r="C195" s="10" t="n"/>
      <c r="D195" s="10" t="n"/>
      <c r="E195" s="10" t="n"/>
      <c r="F195" s="10" t="n"/>
      <c r="G195" s="12">
        <f>IF($A195="","",B195)</f>
        <v/>
      </c>
      <c r="H195" s="12">
        <f>IF($A195="","",F195)</f>
        <v/>
      </c>
      <c r="I195" s="11">
        <f>IF($A195="","",IFERROR(C195/B195,0))</f>
        <v/>
      </c>
      <c r="J195" s="12">
        <f>IF($A195="","",B195)</f>
        <v/>
      </c>
      <c r="K195" s="14">
        <f>IF($A195="","",IFERROR(B195/Social!B195,0))</f>
        <v/>
      </c>
      <c r="L195" s="11">
        <f>IF($A195="","",IFERROR(E195/F195,0))</f>
        <v/>
      </c>
    </row>
    <row r="196" ht="22" customHeight="1">
      <c r="A196" s="9" t="n"/>
      <c r="B196" s="10" t="n"/>
      <c r="C196" s="10" t="n"/>
      <c r="D196" s="10" t="n"/>
      <c r="E196" s="10" t="n"/>
      <c r="F196" s="10" t="n"/>
      <c r="G196" s="12">
        <f>IF($A196="","",B196)</f>
        <v/>
      </c>
      <c r="H196" s="12">
        <f>IF($A196="","",F196)</f>
        <v/>
      </c>
      <c r="I196" s="11">
        <f>IF($A196="","",IFERROR(C196/B196,0))</f>
        <v/>
      </c>
      <c r="J196" s="12">
        <f>IF($A196="","",B196)</f>
        <v/>
      </c>
      <c r="K196" s="14">
        <f>IF($A196="","",IFERROR(B196/Social!B196,0))</f>
        <v/>
      </c>
      <c r="L196" s="11">
        <f>IF($A196="","",IFERROR(E196/F196,0))</f>
        <v/>
      </c>
    </row>
    <row r="197" ht="22" customHeight="1">
      <c r="A197" s="9" t="n"/>
      <c r="B197" s="10" t="n"/>
      <c r="C197" s="10" t="n"/>
      <c r="D197" s="10" t="n"/>
      <c r="E197" s="10" t="n"/>
      <c r="F197" s="10" t="n"/>
      <c r="G197" s="12">
        <f>IF($A197="","",B197)</f>
        <v/>
      </c>
      <c r="H197" s="12">
        <f>IF($A197="","",F197)</f>
        <v/>
      </c>
      <c r="I197" s="11">
        <f>IF($A197="","",IFERROR(C197/B197,0))</f>
        <v/>
      </c>
      <c r="J197" s="12">
        <f>IF($A197="","",B197)</f>
        <v/>
      </c>
      <c r="K197" s="14">
        <f>IF($A197="","",IFERROR(B197/Social!B197,0))</f>
        <v/>
      </c>
      <c r="L197" s="11">
        <f>IF($A197="","",IFERROR(E197/F197,0))</f>
        <v/>
      </c>
    </row>
    <row r="198" ht="22" customHeight="1">
      <c r="A198" s="9" t="n"/>
      <c r="B198" s="10" t="n"/>
      <c r="C198" s="10" t="n"/>
      <c r="D198" s="10" t="n"/>
      <c r="E198" s="10" t="n"/>
      <c r="F198" s="10" t="n"/>
      <c r="G198" s="12">
        <f>IF($A198="","",B198)</f>
        <v/>
      </c>
      <c r="H198" s="12">
        <f>IF($A198="","",F198)</f>
        <v/>
      </c>
      <c r="I198" s="11">
        <f>IF($A198="","",IFERROR(C198/B198,0))</f>
        <v/>
      </c>
      <c r="J198" s="12">
        <f>IF($A198="","",B198)</f>
        <v/>
      </c>
      <c r="K198" s="14">
        <f>IF($A198="","",IFERROR(B198/Social!B198,0))</f>
        <v/>
      </c>
      <c r="L198" s="11">
        <f>IF($A198="","",IFERROR(E198/F198,0))</f>
        <v/>
      </c>
    </row>
    <row r="199" ht="22" customHeight="1">
      <c r="A199" s="9" t="n"/>
      <c r="B199" s="10" t="n"/>
      <c r="C199" s="10" t="n"/>
      <c r="D199" s="10" t="n"/>
      <c r="E199" s="10" t="n"/>
      <c r="F199" s="10" t="n"/>
      <c r="G199" s="12">
        <f>IF($A199="","",B199)</f>
        <v/>
      </c>
      <c r="H199" s="12">
        <f>IF($A199="","",F199)</f>
        <v/>
      </c>
      <c r="I199" s="11">
        <f>IF($A199="","",IFERROR(C199/B199,0))</f>
        <v/>
      </c>
      <c r="J199" s="12">
        <f>IF($A199="","",B199)</f>
        <v/>
      </c>
      <c r="K199" s="14">
        <f>IF($A199="","",IFERROR(B199/Social!B199,0))</f>
        <v/>
      </c>
      <c r="L199" s="11">
        <f>IF($A199="","",IFERROR(E199/F199,0))</f>
        <v/>
      </c>
    </row>
    <row r="200" ht="22" customHeight="1">
      <c r="A200" s="9" t="n"/>
      <c r="B200" s="10" t="n"/>
      <c r="C200" s="10" t="n"/>
      <c r="D200" s="10" t="n"/>
      <c r="E200" s="10" t="n"/>
      <c r="F200" s="10" t="n"/>
      <c r="G200" s="12">
        <f>IF($A200="","",B200)</f>
        <v/>
      </c>
      <c r="H200" s="12">
        <f>IF($A200="","",F200)</f>
        <v/>
      </c>
      <c r="I200" s="11">
        <f>IF($A200="","",IFERROR(C200/B200,0))</f>
        <v/>
      </c>
      <c r="J200" s="12">
        <f>IF($A200="","",B200)</f>
        <v/>
      </c>
      <c r="K200" s="14">
        <f>IF($A200="","",IFERROR(B200/Social!B200,0))</f>
        <v/>
      </c>
      <c r="L200" s="11">
        <f>IF($A200="","",IFERROR(E200/F200,0))</f>
        <v/>
      </c>
    </row>
  </sheetData>
  <autoFilter ref="A1:L200"/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D1D5DB"/>
    <outlinePr summaryBelow="1" summaryRight="1"/>
    <pageSetUpPr/>
  </sheetPr>
  <dimension ref="A1:L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2" customWidth="1" min="2" max="2"/>
    <col width="20" customWidth="1" min="3" max="3"/>
    <col width="31" customWidth="1" min="4" max="4"/>
    <col width="18" customWidth="1" min="5" max="5"/>
    <col width="15" customWidth="1" min="6" max="6"/>
    <col width="25" customWidth="1" min="7" max="7"/>
    <col width="32" customWidth="1" min="8" max="8"/>
    <col width="32" customWidth="1" min="9" max="9"/>
    <col width="32" customWidth="1" min="10" max="10"/>
    <col width="21" customWidth="1" min="11" max="11"/>
    <col width="26" customWidth="1" min="12" max="12"/>
  </cols>
  <sheetData>
    <row r="1" ht="30" customHeight="1">
      <c r="A1" s="7" t="inlineStr">
        <is>
          <t>week_start</t>
        </is>
      </c>
      <c r="B1" s="7" t="inlineStr">
        <is>
          <t>beneficiaires_retard</t>
        </is>
      </c>
      <c r="C1" s="7" t="inlineStr">
        <is>
          <t>retard_total_jours</t>
        </is>
      </c>
      <c r="D1" s="7" t="inlineStr">
        <is>
          <t>montant_recupere_apres_defaut</t>
        </is>
      </c>
      <c r="E1" s="7" t="inlineStr">
        <is>
          <t>motos_recuperees</t>
        </is>
      </c>
      <c r="F1" s="7" t="inlineStr">
        <is>
          <t>cas_defaut</t>
        </is>
      </c>
      <c r="G1" s="8" t="inlineStr">
        <is>
          <t>nb_beneficiaires_retard</t>
        </is>
      </c>
      <c r="H1" s="8" t="inlineStr">
        <is>
          <t>retard_moyen</t>
        </is>
      </c>
      <c r="I1" s="8" t="inlineStr">
        <is>
          <t>recovery_apres_defaut</t>
        </is>
      </c>
      <c r="J1" s="8" t="inlineStr">
        <is>
          <t>par30</t>
        </is>
      </c>
      <c r="K1" s="8" t="inlineStr">
        <is>
          <t>cas_defaut_calcule</t>
        </is>
      </c>
      <c r="L1" s="8" t="inlineStr">
        <is>
          <t>motos_recuperees_calcule</t>
        </is>
      </c>
    </row>
    <row r="2" ht="22" customHeight="1">
      <c r="A2" s="9" t="n">
        <v>46027</v>
      </c>
      <c r="B2" s="10" t="n">
        <v>14</v>
      </c>
      <c r="C2" s="10" t="n">
        <v>3.768077207943177</v>
      </c>
      <c r="D2" s="10" t="n">
        <v>436711.9166259876</v>
      </c>
      <c r="E2" s="10" t="n">
        <v>1</v>
      </c>
      <c r="F2" s="10" t="n">
        <v>0</v>
      </c>
      <c r="G2" s="12">
        <f>IF($A2="","",B2)</f>
        <v/>
      </c>
      <c r="H2" s="12">
        <f>IF($A2="","",ROUND(IFERROR(C2/B2,0),0))</f>
        <v/>
      </c>
      <c r="I2" s="11">
        <f>IF($A2="","",IFERROR(D2/Financier!D2,0))</f>
        <v/>
      </c>
      <c r="J2" s="11">
        <f>IF($A2="","",IFERROR(Financier!M2/Financier!G2,0))</f>
        <v/>
      </c>
      <c r="K2" s="12">
        <f>IF($A2="","",F2)</f>
        <v/>
      </c>
      <c r="L2" s="12">
        <f>IF($A2="","",E2)</f>
        <v/>
      </c>
    </row>
    <row r="3" ht="22" customHeight="1">
      <c r="A3" s="9" t="n">
        <v>46034</v>
      </c>
      <c r="B3" s="10" t="n">
        <v>17</v>
      </c>
      <c r="C3" s="10" t="n">
        <v>5.495199476399814</v>
      </c>
      <c r="D3" s="10" t="n">
        <v>355905.3199456247</v>
      </c>
      <c r="E3" s="10" t="n">
        <v>1</v>
      </c>
      <c r="F3" s="10" t="n">
        <v>0</v>
      </c>
      <c r="G3" s="12">
        <f>IF($A3="","",B3)</f>
        <v/>
      </c>
      <c r="H3" s="12">
        <f>IF($A3="","",ROUND(IFERROR(C3/B3,0),0))</f>
        <v/>
      </c>
      <c r="I3" s="11">
        <f>IF($A3="","",IFERROR(D3/Financier!D3,0))</f>
        <v/>
      </c>
      <c r="J3" s="11">
        <f>IF($A3="","",IFERROR(Financier!M3/Financier!G3,0))</f>
        <v/>
      </c>
      <c r="K3" s="12">
        <f>IF($A3="","",F3)</f>
        <v/>
      </c>
      <c r="L3" s="12">
        <f>IF($A3="","",E3)</f>
        <v/>
      </c>
    </row>
    <row r="4" ht="22" customHeight="1">
      <c r="A4" s="9" t="n">
        <v>46041</v>
      </c>
      <c r="B4" s="10" t="n">
        <v>18</v>
      </c>
      <c r="C4" s="10" t="n">
        <v>5.966744504038922</v>
      </c>
      <c r="D4" s="10" t="n">
        <v>380201.1018252781</v>
      </c>
      <c r="E4" s="10" t="n">
        <v>0</v>
      </c>
      <c r="F4" s="10" t="n">
        <v>0</v>
      </c>
      <c r="G4" s="12">
        <f>IF($A4="","",B4)</f>
        <v/>
      </c>
      <c r="H4" s="12">
        <f>IF($A4="","",ROUND(IFERROR(C4/B4,0),0))</f>
        <v/>
      </c>
      <c r="I4" s="11">
        <f>IF($A4="","",IFERROR(D4/Financier!D4,0))</f>
        <v/>
      </c>
      <c r="J4" s="11">
        <f>IF($A4="","",IFERROR(Financier!M4/Financier!G4,0))</f>
        <v/>
      </c>
      <c r="K4" s="12">
        <f>IF($A4="","",F4)</f>
        <v/>
      </c>
      <c r="L4" s="12">
        <f>IF($A4="","",E4)</f>
        <v/>
      </c>
    </row>
    <row r="5" ht="22" customHeight="1">
      <c r="A5" s="9" t="n">
        <v>46048</v>
      </c>
      <c r="B5" s="10" t="n">
        <v>18</v>
      </c>
      <c r="C5" s="10" t="n">
        <v>5.835719070701274</v>
      </c>
      <c r="D5" s="10" t="n">
        <v>453453.6705932213</v>
      </c>
      <c r="E5" s="10" t="n">
        <v>0</v>
      </c>
      <c r="F5" s="10" t="n">
        <v>0</v>
      </c>
      <c r="G5" s="12">
        <f>IF($A5="","",B5)</f>
        <v/>
      </c>
      <c r="H5" s="12">
        <f>IF($A5="","",ROUND(IFERROR(C5/B5,0),0))</f>
        <v/>
      </c>
      <c r="I5" s="11">
        <f>IF($A5="","",IFERROR(D5/Financier!D5,0))</f>
        <v/>
      </c>
      <c r="J5" s="11">
        <f>IF($A5="","",IFERROR(Financier!M5/Financier!G5,0))</f>
        <v/>
      </c>
      <c r="K5" s="12">
        <f>IF($A5="","",F5)</f>
        <v/>
      </c>
      <c r="L5" s="12">
        <f>IF($A5="","",E5)</f>
        <v/>
      </c>
    </row>
    <row r="6" ht="22" customHeight="1">
      <c r="A6" s="9" t="n">
        <v>46055</v>
      </c>
      <c r="B6" s="10" t="n">
        <v>14</v>
      </c>
      <c r="C6" s="10" t="n">
        <v>4.151577065495447</v>
      </c>
      <c r="D6" s="10" t="n">
        <v>456560.1069993278</v>
      </c>
      <c r="E6" s="10" t="n">
        <v>1</v>
      </c>
      <c r="F6" s="10" t="n">
        <v>0</v>
      </c>
      <c r="G6" s="12">
        <f>IF($A6="","",B6)</f>
        <v/>
      </c>
      <c r="H6" s="12">
        <f>IF($A6="","",ROUND(IFERROR(C6/B6,0),0))</f>
        <v/>
      </c>
      <c r="I6" s="11">
        <f>IF($A6="","",IFERROR(D6/Financier!D6,0))</f>
        <v/>
      </c>
      <c r="J6" s="11">
        <f>IF($A6="","",IFERROR(Financier!M6/Financier!G6,0))</f>
        <v/>
      </c>
      <c r="K6" s="12">
        <f>IF($A6="","",F6)</f>
        <v/>
      </c>
      <c r="L6" s="12">
        <f>IF($A6="","",E6)</f>
        <v/>
      </c>
    </row>
    <row r="7" ht="22" customHeight="1">
      <c r="A7" s="9" t="n">
        <v>46062</v>
      </c>
      <c r="B7" s="10" t="n">
        <v>19</v>
      </c>
      <c r="C7" s="10" t="n">
        <v>6.63514339579095</v>
      </c>
      <c r="D7" s="10" t="n">
        <v>594395.2796251323</v>
      </c>
      <c r="E7" s="10" t="n">
        <v>1</v>
      </c>
      <c r="F7" s="10" t="n">
        <v>0</v>
      </c>
      <c r="G7" s="12">
        <f>IF($A7="","",B7)</f>
        <v/>
      </c>
      <c r="H7" s="12">
        <f>IF($A7="","",ROUND(IFERROR(C7/B7,0),0))</f>
        <v/>
      </c>
      <c r="I7" s="11">
        <f>IF($A7="","",IFERROR(D7/Financier!D7,0))</f>
        <v/>
      </c>
      <c r="J7" s="11">
        <f>IF($A7="","",IFERROR(Financier!M7/Financier!G7,0))</f>
        <v/>
      </c>
      <c r="K7" s="12">
        <f>IF($A7="","",F7)</f>
        <v/>
      </c>
      <c r="L7" s="12">
        <f>IF($A7="","",E7)</f>
        <v/>
      </c>
    </row>
    <row r="8" ht="22" customHeight="1">
      <c r="A8" s="9" t="n">
        <v>46069</v>
      </c>
      <c r="B8" s="10" t="n">
        <v>14</v>
      </c>
      <c r="C8" s="10" t="n">
        <v>5.260460904334971</v>
      </c>
      <c r="D8" s="10" t="n">
        <v>549273.5552082822</v>
      </c>
      <c r="E8" s="10" t="n">
        <v>2</v>
      </c>
      <c r="F8" s="10" t="n">
        <v>0</v>
      </c>
      <c r="G8" s="12">
        <f>IF($A8="","",B8)</f>
        <v/>
      </c>
      <c r="H8" s="12">
        <f>IF($A8="","",ROUND(IFERROR(C8/B8,0),0))</f>
        <v/>
      </c>
      <c r="I8" s="11">
        <f>IF($A8="","",IFERROR(D8/Financier!D8,0))</f>
        <v/>
      </c>
      <c r="J8" s="11">
        <f>IF($A8="","",IFERROR(Financier!M8/Financier!G8,0))</f>
        <v/>
      </c>
      <c r="K8" s="12">
        <f>IF($A8="","",F8)</f>
        <v/>
      </c>
      <c r="L8" s="12">
        <f>IF($A8="","",E8)</f>
        <v/>
      </c>
    </row>
    <row r="9" ht="22" customHeight="1">
      <c r="A9" s="9" t="n">
        <v>46076</v>
      </c>
      <c r="B9" s="10" t="n">
        <v>21</v>
      </c>
      <c r="C9" s="10" t="n">
        <v>7.697843151011857</v>
      </c>
      <c r="D9" s="10" t="n">
        <v>441809.5463914346</v>
      </c>
      <c r="E9" s="10" t="n">
        <v>1</v>
      </c>
      <c r="F9" s="10" t="n">
        <v>0</v>
      </c>
      <c r="G9" s="12">
        <f>IF($A9="","",B9)</f>
        <v/>
      </c>
      <c r="H9" s="12">
        <f>IF($A9="","",ROUND(IFERROR(C9/B9,0),0))</f>
        <v/>
      </c>
      <c r="I9" s="11">
        <f>IF($A9="","",IFERROR(D9/Financier!D9,0))</f>
        <v/>
      </c>
      <c r="J9" s="11">
        <f>IF($A9="","",IFERROR(Financier!M9/Financier!G9,0))</f>
        <v/>
      </c>
      <c r="K9" s="12">
        <f>IF($A9="","",F9)</f>
        <v/>
      </c>
      <c r="L9" s="12">
        <f>IF($A9="","",E9)</f>
        <v/>
      </c>
    </row>
    <row r="10" ht="22" customHeight="1">
      <c r="A10" s="9" t="n">
        <v>46083</v>
      </c>
      <c r="B10" s="10" t="n">
        <v>16</v>
      </c>
      <c r="C10" s="10" t="n">
        <v>5.990637108574373</v>
      </c>
      <c r="D10" s="10" t="n">
        <v>466839.2180002734</v>
      </c>
      <c r="E10" s="10" t="n">
        <v>2</v>
      </c>
      <c r="F10" s="10" t="n">
        <v>0</v>
      </c>
      <c r="G10" s="12">
        <f>IF($A10="","",B10)</f>
        <v/>
      </c>
      <c r="H10" s="12">
        <f>IF($A10="","",ROUND(IFERROR(C10/B10,0),0))</f>
        <v/>
      </c>
      <c r="I10" s="11">
        <f>IF($A10="","",IFERROR(D10/Financier!D10,0))</f>
        <v/>
      </c>
      <c r="J10" s="11">
        <f>IF($A10="","",IFERROR(Financier!M10/Financier!G10,0))</f>
        <v/>
      </c>
      <c r="K10" s="12">
        <f>IF($A10="","",F10)</f>
        <v/>
      </c>
      <c r="L10" s="12">
        <f>IF($A10="","",E10)</f>
        <v/>
      </c>
    </row>
    <row r="11" ht="22" customHeight="1">
      <c r="A11" s="9" t="n">
        <v>46090</v>
      </c>
      <c r="B11" s="10" t="n">
        <v>22</v>
      </c>
      <c r="C11" s="10" t="n">
        <v>7.678217277998876</v>
      </c>
      <c r="D11" s="10" t="n">
        <v>437542.4754121348</v>
      </c>
      <c r="E11" s="10" t="n">
        <v>0</v>
      </c>
      <c r="F11" s="10" t="n">
        <v>0</v>
      </c>
      <c r="G11" s="12">
        <f>IF($A11="","",B11)</f>
        <v/>
      </c>
      <c r="H11" s="12">
        <f>IF($A11="","",ROUND(IFERROR(C11/B11,0),0))</f>
        <v/>
      </c>
      <c r="I11" s="11">
        <f>IF($A11="","",IFERROR(D11/Financier!D11,0))</f>
        <v/>
      </c>
      <c r="J11" s="11">
        <f>IF($A11="","",IFERROR(Financier!M11/Financier!G11,0))</f>
        <v/>
      </c>
      <c r="K11" s="12">
        <f>IF($A11="","",F11)</f>
        <v/>
      </c>
      <c r="L11" s="12">
        <f>IF($A11="","",E11)</f>
        <v/>
      </c>
    </row>
    <row r="12" ht="22" customHeight="1">
      <c r="A12" s="9" t="n">
        <v>46097</v>
      </c>
      <c r="B12" s="10" t="n">
        <v>23</v>
      </c>
      <c r="C12" s="10" t="n">
        <v>6.227521390789642</v>
      </c>
      <c r="D12" s="10" t="n">
        <v>375215.5909170495</v>
      </c>
      <c r="E12" s="10" t="n">
        <v>0</v>
      </c>
      <c r="F12" s="10" t="n">
        <v>0</v>
      </c>
      <c r="G12" s="12">
        <f>IF($A12="","",B12)</f>
        <v/>
      </c>
      <c r="H12" s="12">
        <f>IF($A12="","",ROUND(IFERROR(C12/B12,0),0))</f>
        <v/>
      </c>
      <c r="I12" s="11">
        <f>IF($A12="","",IFERROR(D12/Financier!D12,0))</f>
        <v/>
      </c>
      <c r="J12" s="11">
        <f>IF($A12="","",IFERROR(Financier!M12/Financier!G12,0))</f>
        <v/>
      </c>
      <c r="K12" s="12">
        <f>IF($A12="","",F12)</f>
        <v/>
      </c>
      <c r="L12" s="12">
        <f>IF($A12="","",E12)</f>
        <v/>
      </c>
    </row>
    <row r="13" ht="22" customHeight="1">
      <c r="A13" s="9" t="n">
        <v>46104</v>
      </c>
      <c r="B13" s="10" t="n">
        <v>24</v>
      </c>
      <c r="C13" s="10" t="n">
        <v>4.973031486174448</v>
      </c>
      <c r="D13" s="10" t="n">
        <v>600012.2437566433</v>
      </c>
      <c r="E13" s="10" t="n">
        <v>1</v>
      </c>
      <c r="F13" s="10" t="n">
        <v>0</v>
      </c>
      <c r="G13" s="12">
        <f>IF($A13="","",B13)</f>
        <v/>
      </c>
      <c r="H13" s="12">
        <f>IF($A13="","",ROUND(IFERROR(C13/B13,0),0))</f>
        <v/>
      </c>
      <c r="I13" s="11">
        <f>IF($A13="","",IFERROR(D13/Financier!D13,0))</f>
        <v/>
      </c>
      <c r="J13" s="11">
        <f>IF($A13="","",IFERROR(Financier!M13/Financier!G13,0))</f>
        <v/>
      </c>
      <c r="K13" s="12">
        <f>IF($A13="","",F13)</f>
        <v/>
      </c>
      <c r="L13" s="12">
        <f>IF($A13="","",E13)</f>
        <v/>
      </c>
    </row>
    <row r="14" ht="22" customHeight="1">
      <c r="A14" s="9" t="n">
        <v>46111</v>
      </c>
      <c r="B14" s="10" t="n">
        <v>21</v>
      </c>
      <c r="C14" s="10" t="n">
        <v>5.760344175151566</v>
      </c>
      <c r="D14" s="10" t="n">
        <v>475977.2565386874</v>
      </c>
      <c r="E14" s="10" t="n">
        <v>2</v>
      </c>
      <c r="F14" s="10" t="n">
        <v>0</v>
      </c>
      <c r="G14" s="12">
        <f>IF($A14="","",B14)</f>
        <v/>
      </c>
      <c r="H14" s="12">
        <f>IF($A14="","",ROUND(IFERROR(C14/B14,0),0))</f>
        <v/>
      </c>
      <c r="I14" s="11">
        <f>IF($A14="","",IFERROR(D14/Financier!D14,0))</f>
        <v/>
      </c>
      <c r="J14" s="11">
        <f>IF($A14="","",IFERROR(Financier!M14/Financier!G14,0))</f>
        <v/>
      </c>
      <c r="K14" s="12">
        <f>IF($A14="","",F14)</f>
        <v/>
      </c>
      <c r="L14" s="12">
        <f>IF($A14="","",E14)</f>
        <v/>
      </c>
    </row>
    <row r="15" ht="22" customHeight="1">
      <c r="A15" s="9" t="n">
        <v>46118</v>
      </c>
      <c r="B15" s="10" t="n">
        <v>16</v>
      </c>
      <c r="C15" s="10" t="n">
        <v>6.371483510887625</v>
      </c>
      <c r="D15" s="10" t="n">
        <v>710526.3015532403</v>
      </c>
      <c r="E15" s="10" t="n">
        <v>0</v>
      </c>
      <c r="F15" s="10" t="n">
        <v>0</v>
      </c>
      <c r="G15" s="12">
        <f>IF($A15="","",B15)</f>
        <v/>
      </c>
      <c r="H15" s="12">
        <f>IF($A15="","",ROUND(IFERROR(C15/B15,0),0))</f>
        <v/>
      </c>
      <c r="I15" s="11">
        <f>IF($A15="","",IFERROR(D15/Financier!D15,0))</f>
        <v/>
      </c>
      <c r="J15" s="11">
        <f>IF($A15="","",IFERROR(Financier!M15/Financier!G15,0))</f>
        <v/>
      </c>
      <c r="K15" s="12">
        <f>IF($A15="","",F15)</f>
        <v/>
      </c>
      <c r="L15" s="12">
        <f>IF($A15="","",E15)</f>
        <v/>
      </c>
    </row>
    <row r="16" ht="22" customHeight="1">
      <c r="A16" s="9" t="n">
        <v>46125</v>
      </c>
      <c r="B16" s="10" t="n">
        <v>19</v>
      </c>
      <c r="C16" s="10" t="n">
        <v>7.760311198518846</v>
      </c>
      <c r="D16" s="10" t="n">
        <v>697864.8295635533</v>
      </c>
      <c r="E16" s="10" t="n">
        <v>1</v>
      </c>
      <c r="F16" s="10" t="n">
        <v>0</v>
      </c>
      <c r="G16" s="12">
        <f>IF($A16="","",B16)</f>
        <v/>
      </c>
      <c r="H16" s="12">
        <f>IF($A16="","",ROUND(IFERROR(C16/B16,0),0))</f>
        <v/>
      </c>
      <c r="I16" s="11">
        <f>IF($A16="","",IFERROR(D16/Financier!D16,0))</f>
        <v/>
      </c>
      <c r="J16" s="11">
        <f>IF($A16="","",IFERROR(Financier!M16/Financier!G16,0))</f>
        <v/>
      </c>
      <c r="K16" s="12">
        <f>IF($A16="","",F16)</f>
        <v/>
      </c>
      <c r="L16" s="12">
        <f>IF($A16="","",E16)</f>
        <v/>
      </c>
    </row>
    <row r="17" ht="22" customHeight="1">
      <c r="A17" s="9" t="n">
        <v>46132</v>
      </c>
      <c r="B17" s="10" t="n">
        <v>20</v>
      </c>
      <c r="C17" s="10" t="n">
        <v>4.97960389225938</v>
      </c>
      <c r="D17" s="10" t="n">
        <v>725107.5559888706</v>
      </c>
      <c r="E17" s="10" t="n">
        <v>0</v>
      </c>
      <c r="F17" s="10" t="n">
        <v>0</v>
      </c>
      <c r="G17" s="12">
        <f>IF($A17="","",B17)</f>
        <v/>
      </c>
      <c r="H17" s="12">
        <f>IF($A17="","",ROUND(IFERROR(C17/B17,0),0))</f>
        <v/>
      </c>
      <c r="I17" s="11">
        <f>IF($A17="","",IFERROR(D17/Financier!D17,0))</f>
        <v/>
      </c>
      <c r="J17" s="11">
        <f>IF($A17="","",IFERROR(Financier!M17/Financier!G17,0))</f>
        <v/>
      </c>
      <c r="K17" s="12">
        <f>IF($A17="","",F17)</f>
        <v/>
      </c>
      <c r="L17" s="12">
        <f>IF($A17="","",E17)</f>
        <v/>
      </c>
    </row>
    <row r="18" ht="22" customHeight="1">
      <c r="A18" s="9" t="n">
        <v>46139</v>
      </c>
      <c r="B18" s="10" t="n">
        <v>20</v>
      </c>
      <c r="C18" s="10" t="n">
        <v>7.195973382265451</v>
      </c>
      <c r="D18" s="10" t="n">
        <v>601173.201667551</v>
      </c>
      <c r="E18" s="10" t="n">
        <v>2</v>
      </c>
      <c r="F18" s="10" t="n">
        <v>0</v>
      </c>
      <c r="G18" s="12">
        <f>IF($A18="","",B18)</f>
        <v/>
      </c>
      <c r="H18" s="12">
        <f>IF($A18="","",ROUND(IFERROR(C18/B18,0),0))</f>
        <v/>
      </c>
      <c r="I18" s="11">
        <f>IF($A18="","",IFERROR(D18/Financier!D18,0))</f>
        <v/>
      </c>
      <c r="J18" s="11">
        <f>IF($A18="","",IFERROR(Financier!M18/Financier!G18,0))</f>
        <v/>
      </c>
      <c r="K18" s="12">
        <f>IF($A18="","",F18)</f>
        <v/>
      </c>
      <c r="L18" s="12">
        <f>IF($A18="","",E18)</f>
        <v/>
      </c>
    </row>
    <row r="19" ht="22" customHeight="1">
      <c r="A19" s="9" t="n">
        <v>46146</v>
      </c>
      <c r="B19" s="10" t="n">
        <v>16</v>
      </c>
      <c r="C19" s="10" t="n">
        <v>6.636611396755099</v>
      </c>
      <c r="D19" s="10" t="n">
        <v>425724.9876346552</v>
      </c>
      <c r="E19" s="10" t="n">
        <v>2</v>
      </c>
      <c r="F19" s="10" t="n">
        <v>0</v>
      </c>
      <c r="G19" s="12">
        <f>IF($A19="","",B19)</f>
        <v/>
      </c>
      <c r="H19" s="12">
        <f>IF($A19="","",ROUND(IFERROR(C19/B19,0),0))</f>
        <v/>
      </c>
      <c r="I19" s="11">
        <f>IF($A19="","",IFERROR(D19/Financier!D19,0))</f>
        <v/>
      </c>
      <c r="J19" s="11">
        <f>IF($A19="","",IFERROR(Financier!M19/Financier!G19,0))</f>
        <v/>
      </c>
      <c r="K19" s="12">
        <f>IF($A19="","",F19)</f>
        <v/>
      </c>
      <c r="L19" s="12">
        <f>IF($A19="","",E19)</f>
        <v/>
      </c>
    </row>
    <row r="20" ht="22" customHeight="1">
      <c r="A20" s="9" t="n">
        <v>46153</v>
      </c>
      <c r="B20" s="10" t="n">
        <v>26</v>
      </c>
      <c r="C20" s="10" t="n">
        <v>7.352833431161661</v>
      </c>
      <c r="D20" s="10" t="n">
        <v>538540.0348434576</v>
      </c>
      <c r="E20" s="10" t="n">
        <v>1</v>
      </c>
      <c r="F20" s="10" t="n">
        <v>0</v>
      </c>
      <c r="G20" s="12">
        <f>IF($A20="","",B20)</f>
        <v/>
      </c>
      <c r="H20" s="12">
        <f>IF($A20="","",ROUND(IFERROR(C20/B20,0),0))</f>
        <v/>
      </c>
      <c r="I20" s="11">
        <f>IF($A20="","",IFERROR(D20/Financier!D20,0))</f>
        <v/>
      </c>
      <c r="J20" s="11">
        <f>IF($A20="","",IFERROR(Financier!M20/Financier!G20,0))</f>
        <v/>
      </c>
      <c r="K20" s="12">
        <f>IF($A20="","",F20)</f>
        <v/>
      </c>
      <c r="L20" s="12">
        <f>IF($A20="","",E20)</f>
        <v/>
      </c>
    </row>
    <row r="21" ht="22" customHeight="1">
      <c r="A21" s="9" t="n">
        <v>46160</v>
      </c>
      <c r="B21" s="10" t="n">
        <v>18</v>
      </c>
      <c r="C21" s="10" t="n">
        <v>7.109215522371191</v>
      </c>
      <c r="D21" s="10" t="n">
        <v>533494.8944661221</v>
      </c>
      <c r="E21" s="10" t="n">
        <v>4</v>
      </c>
      <c r="F21" s="10" t="n">
        <v>0</v>
      </c>
      <c r="G21" s="12">
        <f>IF($A21="","",B21)</f>
        <v/>
      </c>
      <c r="H21" s="12">
        <f>IF($A21="","",ROUND(IFERROR(C21/B21,0),0))</f>
        <v/>
      </c>
      <c r="I21" s="11">
        <f>IF($A21="","",IFERROR(D21/Financier!D21,0))</f>
        <v/>
      </c>
      <c r="J21" s="11">
        <f>IF($A21="","",IFERROR(Financier!M21/Financier!G21,0))</f>
        <v/>
      </c>
      <c r="K21" s="12">
        <f>IF($A21="","",F21)</f>
        <v/>
      </c>
      <c r="L21" s="12">
        <f>IF($A21="","",E21)</f>
        <v/>
      </c>
    </row>
    <row r="22" ht="22" customHeight="1">
      <c r="A22" s="9" t="n">
        <v>46167</v>
      </c>
      <c r="B22" s="10" t="n">
        <v>10</v>
      </c>
      <c r="C22" s="10" t="n">
        <v>6.522697704548325</v>
      </c>
      <c r="D22" s="10" t="n">
        <v>319222.7667283596</v>
      </c>
      <c r="E22" s="10" t="n">
        <v>0</v>
      </c>
      <c r="F22" s="10" t="n">
        <v>0</v>
      </c>
      <c r="G22" s="12">
        <f>IF($A22="","",B22)</f>
        <v/>
      </c>
      <c r="H22" s="12">
        <f>IF($A22="","",ROUND(IFERROR(C22/B22,0),0))</f>
        <v/>
      </c>
      <c r="I22" s="11">
        <f>IF($A22="","",IFERROR(D22/Financier!D22,0))</f>
        <v/>
      </c>
      <c r="J22" s="11">
        <f>IF($A22="","",IFERROR(Financier!M22/Financier!G22,0))</f>
        <v/>
      </c>
      <c r="K22" s="12">
        <f>IF($A22="","",F22)</f>
        <v/>
      </c>
      <c r="L22" s="12">
        <f>IF($A22="","",E22)</f>
        <v/>
      </c>
    </row>
    <row r="23" ht="22" customHeight="1">
      <c r="A23" s="9" t="n">
        <v>46174</v>
      </c>
      <c r="B23" s="10" t="n">
        <v>13</v>
      </c>
      <c r="C23" s="10" t="n">
        <v>5.885547911349645</v>
      </c>
      <c r="D23" s="10" t="n">
        <v>734222.4086360035</v>
      </c>
      <c r="E23" s="10" t="n">
        <v>1</v>
      </c>
      <c r="F23" s="10" t="n">
        <v>0</v>
      </c>
      <c r="G23" s="12">
        <f>IF($A23="","",B23)</f>
        <v/>
      </c>
      <c r="H23" s="12">
        <f>IF($A23="","",ROUND(IFERROR(C23/B23,0),0))</f>
        <v/>
      </c>
      <c r="I23" s="11">
        <f>IF($A23="","",IFERROR(D23/Financier!D23,0))</f>
        <v/>
      </c>
      <c r="J23" s="11">
        <f>IF($A23="","",IFERROR(Financier!M23/Financier!G23,0))</f>
        <v/>
      </c>
      <c r="K23" s="12">
        <f>IF($A23="","",F23)</f>
        <v/>
      </c>
      <c r="L23" s="12">
        <f>IF($A23="","",E23)</f>
        <v/>
      </c>
    </row>
    <row r="24" ht="22" customHeight="1">
      <c r="A24" s="9" t="n">
        <v>46181</v>
      </c>
      <c r="B24" s="10" t="n">
        <v>16</v>
      </c>
      <c r="C24" s="10" t="n">
        <v>6.510222988399139</v>
      </c>
      <c r="D24" s="10" t="n">
        <v>389255.6467849786</v>
      </c>
      <c r="E24" s="10" t="n">
        <v>2</v>
      </c>
      <c r="F24" s="10" t="n">
        <v>0</v>
      </c>
      <c r="G24" s="12">
        <f>IF($A24="","",B24)</f>
        <v/>
      </c>
      <c r="H24" s="12">
        <f>IF($A24="","",ROUND(IFERROR(C24/B24,0),0))</f>
        <v/>
      </c>
      <c r="I24" s="11">
        <f>IF($A24="","",IFERROR(D24/Financier!D24,0))</f>
        <v/>
      </c>
      <c r="J24" s="11">
        <f>IF($A24="","",IFERROR(Financier!M24/Financier!G24,0))</f>
        <v/>
      </c>
      <c r="K24" s="12">
        <f>IF($A24="","",F24)</f>
        <v/>
      </c>
      <c r="L24" s="12">
        <f>IF($A24="","",E24)</f>
        <v/>
      </c>
    </row>
    <row r="25" ht="22" customHeight="1">
      <c r="A25" s="9" t="n">
        <v>46188</v>
      </c>
      <c r="B25" s="10" t="n">
        <v>19</v>
      </c>
      <c r="C25" s="10" t="n">
        <v>6.735629093792174</v>
      </c>
      <c r="D25" s="10" t="n">
        <v>296463.7169051435</v>
      </c>
      <c r="E25" s="10" t="n">
        <v>0</v>
      </c>
      <c r="F25" s="10" t="n">
        <v>0</v>
      </c>
      <c r="G25" s="12">
        <f>IF($A25="","",B25)</f>
        <v/>
      </c>
      <c r="H25" s="12">
        <f>IF($A25="","",ROUND(IFERROR(C25/B25,0),0))</f>
        <v/>
      </c>
      <c r="I25" s="11">
        <f>IF($A25="","",IFERROR(D25/Financier!D25,0))</f>
        <v/>
      </c>
      <c r="J25" s="11">
        <f>IF($A25="","",IFERROR(Financier!M25/Financier!G25,0))</f>
        <v/>
      </c>
      <c r="K25" s="12">
        <f>IF($A25="","",F25)</f>
        <v/>
      </c>
      <c r="L25" s="12">
        <f>IF($A25="","",E25)</f>
        <v/>
      </c>
    </row>
    <row r="26" ht="22" customHeight="1">
      <c r="A26" s="9" t="n">
        <v>46195</v>
      </c>
      <c r="B26" s="10" t="n">
        <v>24</v>
      </c>
      <c r="C26" s="10" t="n">
        <v>4.757232883466255</v>
      </c>
      <c r="D26" s="10" t="n">
        <v>277185.3856658944</v>
      </c>
      <c r="E26" s="10" t="n">
        <v>0</v>
      </c>
      <c r="F26" s="10" t="n">
        <v>0</v>
      </c>
      <c r="G26" s="12">
        <f>IF($A26="","",B26)</f>
        <v/>
      </c>
      <c r="H26" s="12">
        <f>IF($A26="","",ROUND(IFERROR(C26/B26,0),0))</f>
        <v/>
      </c>
      <c r="I26" s="11">
        <f>IF($A26="","",IFERROR(D26/Financier!D26,0))</f>
        <v/>
      </c>
      <c r="J26" s="11">
        <f>IF($A26="","",IFERROR(Financier!M26/Financier!G26,0))</f>
        <v/>
      </c>
      <c r="K26" s="12">
        <f>IF($A26="","",F26)</f>
        <v/>
      </c>
      <c r="L26" s="12">
        <f>IF($A26="","",E26)</f>
        <v/>
      </c>
    </row>
    <row r="27" ht="22" customHeight="1">
      <c r="A27" s="9" t="n">
        <v>46202</v>
      </c>
      <c r="B27" s="10" t="n">
        <v>18</v>
      </c>
      <c r="C27" s="10" t="n">
        <v>6.496207147579304</v>
      </c>
      <c r="D27" s="10" t="n">
        <v>399490.8010429671</v>
      </c>
      <c r="E27" s="10" t="n">
        <v>0</v>
      </c>
      <c r="F27" s="10" t="n">
        <v>0</v>
      </c>
      <c r="G27" s="12">
        <f>IF($A27="","",B27)</f>
        <v/>
      </c>
      <c r="H27" s="12">
        <f>IF($A27="","",ROUND(IFERROR(C27/B27,0),0))</f>
        <v/>
      </c>
      <c r="I27" s="11">
        <f>IF($A27="","",IFERROR(D27/Financier!D27,0))</f>
        <v/>
      </c>
      <c r="J27" s="11">
        <f>IF($A27="","",IFERROR(Financier!M27/Financier!G27,0))</f>
        <v/>
      </c>
      <c r="K27" s="12">
        <f>IF($A27="","",F27)</f>
        <v/>
      </c>
      <c r="L27" s="12">
        <f>IF($A27="","",E27)</f>
        <v/>
      </c>
    </row>
    <row r="28" ht="22" customHeight="1">
      <c r="A28" s="9" t="n">
        <v>46209</v>
      </c>
      <c r="B28" s="10" t="n">
        <v>5</v>
      </c>
      <c r="C28" s="10" t="n">
        <v>6.784839418116658</v>
      </c>
      <c r="D28" s="10" t="n">
        <v>370505.5290613289</v>
      </c>
      <c r="E28" s="10" t="n">
        <v>0</v>
      </c>
      <c r="F28" s="10" t="n">
        <v>0</v>
      </c>
      <c r="G28" s="12">
        <f>IF($A28="","",B28)</f>
        <v/>
      </c>
      <c r="H28" s="12">
        <f>IF($A28="","",ROUND(IFERROR(C28/B28,0),0))</f>
        <v/>
      </c>
      <c r="I28" s="11">
        <f>IF($A28="","",IFERROR(D28/Financier!D28,0))</f>
        <v/>
      </c>
      <c r="J28" s="11">
        <f>IF($A28="","",IFERROR(Financier!M28/Financier!G28,0))</f>
        <v/>
      </c>
      <c r="K28" s="12">
        <f>IF($A28="","",F28)</f>
        <v/>
      </c>
      <c r="L28" s="12">
        <f>IF($A28="","",E28)</f>
        <v/>
      </c>
    </row>
    <row r="29" ht="22" customHeight="1">
      <c r="A29" s="9" t="n">
        <v>46216</v>
      </c>
      <c r="B29" s="10" t="n">
        <v>11</v>
      </c>
      <c r="C29" s="10" t="n">
        <v>4.197975068555245</v>
      </c>
      <c r="D29" s="10" t="n">
        <v>335745.094297278</v>
      </c>
      <c r="E29" s="10" t="n">
        <v>1</v>
      </c>
      <c r="F29" s="10" t="n">
        <v>0</v>
      </c>
      <c r="G29" s="12">
        <f>IF($A29="","",B29)</f>
        <v/>
      </c>
      <c r="H29" s="12">
        <f>IF($A29="","",ROUND(IFERROR(C29/B29,0),0))</f>
        <v/>
      </c>
      <c r="I29" s="11">
        <f>IF($A29="","",IFERROR(D29/Financier!D29,0))</f>
        <v/>
      </c>
      <c r="J29" s="11">
        <f>IF($A29="","",IFERROR(Financier!M29/Financier!G29,0))</f>
        <v/>
      </c>
      <c r="K29" s="12">
        <f>IF($A29="","",F29)</f>
        <v/>
      </c>
      <c r="L29" s="12">
        <f>IF($A29="","",E29)</f>
        <v/>
      </c>
    </row>
    <row r="30" ht="22" customHeight="1">
      <c r="A30" s="9" t="n">
        <v>46223</v>
      </c>
      <c r="B30" s="10" t="n">
        <v>8</v>
      </c>
      <c r="C30" s="10" t="n">
        <v>5.285245916369816</v>
      </c>
      <c r="D30" s="10" t="n">
        <v>355879.0597060432</v>
      </c>
      <c r="E30" s="10" t="n">
        <v>0</v>
      </c>
      <c r="F30" s="10" t="n">
        <v>0</v>
      </c>
      <c r="G30" s="12">
        <f>IF($A30="","",B30)</f>
        <v/>
      </c>
      <c r="H30" s="12">
        <f>IF($A30="","",ROUND(IFERROR(C30/B30,0),0))</f>
        <v/>
      </c>
      <c r="I30" s="11">
        <f>IF($A30="","",IFERROR(D30/Financier!D30,0))</f>
        <v/>
      </c>
      <c r="J30" s="11">
        <f>IF($A30="","",IFERROR(Financier!M30/Financier!G30,0))</f>
        <v/>
      </c>
      <c r="K30" s="12">
        <f>IF($A30="","",F30)</f>
        <v/>
      </c>
      <c r="L30" s="12">
        <f>IF($A30="","",E30)</f>
        <v/>
      </c>
    </row>
    <row r="31" ht="22" customHeight="1">
      <c r="A31" s="9" t="n">
        <v>46230</v>
      </c>
      <c r="B31" s="10" t="n">
        <v>4</v>
      </c>
      <c r="C31" s="10" t="n">
        <v>5.494334075885474</v>
      </c>
      <c r="D31" s="10" t="n">
        <v>174173.3425708337</v>
      </c>
      <c r="E31" s="10" t="n">
        <v>0</v>
      </c>
      <c r="F31" s="10" t="n">
        <v>0</v>
      </c>
      <c r="G31" s="12">
        <f>IF($A31="","",B31)</f>
        <v/>
      </c>
      <c r="H31" s="12">
        <f>IF($A31="","",ROUND(IFERROR(C31/B31,0),0))</f>
        <v/>
      </c>
      <c r="I31" s="11">
        <f>IF($A31="","",IFERROR(D31/Financier!D31,0))</f>
        <v/>
      </c>
      <c r="J31" s="11">
        <f>IF($A31="","",IFERROR(Financier!M31/Financier!G31,0))</f>
        <v/>
      </c>
      <c r="K31" s="12">
        <f>IF($A31="","",F31)</f>
        <v/>
      </c>
      <c r="L31" s="12">
        <f>IF($A31="","",E31)</f>
        <v/>
      </c>
    </row>
    <row r="32" ht="22" customHeight="1">
      <c r="A32" s="9" t="n">
        <v>46237</v>
      </c>
      <c r="B32" s="10" t="n">
        <v>12</v>
      </c>
      <c r="C32" s="10" t="n">
        <v>6.101514307726198</v>
      </c>
      <c r="D32" s="10" t="n">
        <v>76662.58086460717</v>
      </c>
      <c r="E32" s="10" t="n">
        <v>0</v>
      </c>
      <c r="F32" s="10" t="n">
        <v>0</v>
      </c>
      <c r="G32" s="12">
        <f>IF($A32="","",B32)</f>
        <v/>
      </c>
      <c r="H32" s="12">
        <f>IF($A32="","",ROUND(IFERROR(C32/B32,0),0))</f>
        <v/>
      </c>
      <c r="I32" s="11">
        <f>IF($A32="","",IFERROR(D32/Financier!D32,0))</f>
        <v/>
      </c>
      <c r="J32" s="11">
        <f>IF($A32="","",IFERROR(Financier!M32/Financier!G32,0))</f>
        <v/>
      </c>
      <c r="K32" s="12">
        <f>IF($A32="","",F32)</f>
        <v/>
      </c>
      <c r="L32" s="12">
        <f>IF($A32="","",E32)</f>
        <v/>
      </c>
    </row>
    <row r="33" ht="22" customHeight="1">
      <c r="A33" s="9" t="n">
        <v>46244</v>
      </c>
      <c r="B33" s="10" t="n">
        <v>14</v>
      </c>
      <c r="C33" s="10" t="n">
        <v>5.711402823155624</v>
      </c>
      <c r="D33" s="10" t="n">
        <v>403981.4771021223</v>
      </c>
      <c r="E33" s="10" t="n">
        <v>0</v>
      </c>
      <c r="F33" s="10" t="n">
        <v>0</v>
      </c>
      <c r="G33" s="12">
        <f>IF($A33="","",B33)</f>
        <v/>
      </c>
      <c r="H33" s="12">
        <f>IF($A33="","",ROUND(IFERROR(C33/B33,0),0))</f>
        <v/>
      </c>
      <c r="I33" s="11">
        <f>IF($A33="","",IFERROR(D33/Financier!D33,0))</f>
        <v/>
      </c>
      <c r="J33" s="11">
        <f>IF($A33="","",IFERROR(Financier!M33/Financier!G33,0))</f>
        <v/>
      </c>
      <c r="K33" s="12">
        <f>IF($A33="","",F33)</f>
        <v/>
      </c>
      <c r="L33" s="12">
        <f>IF($A33="","",E33)</f>
        <v/>
      </c>
    </row>
    <row r="34" ht="22" customHeight="1">
      <c r="A34" s="9" t="n">
        <v>46251</v>
      </c>
      <c r="B34" s="10" t="n">
        <v>7</v>
      </c>
      <c r="C34" s="10" t="n">
        <v>5.101587329950751</v>
      </c>
      <c r="D34" s="10" t="n">
        <v>347164.7831550975</v>
      </c>
      <c r="E34" s="10" t="n">
        <v>0</v>
      </c>
      <c r="F34" s="10" t="n">
        <v>0</v>
      </c>
      <c r="G34" s="12">
        <f>IF($A34="","",B34)</f>
        <v/>
      </c>
      <c r="H34" s="12">
        <f>IF($A34="","",ROUND(IFERROR(C34/B34,0),0))</f>
        <v/>
      </c>
      <c r="I34" s="11">
        <f>IF($A34="","",IFERROR(D34/Financier!D34,0))</f>
        <v/>
      </c>
      <c r="J34" s="11">
        <f>IF($A34="","",IFERROR(Financier!M34/Financier!G34,0))</f>
        <v/>
      </c>
      <c r="K34" s="12">
        <f>IF($A34="","",F34)</f>
        <v/>
      </c>
      <c r="L34" s="12">
        <f>IF($A34="","",E34)</f>
        <v/>
      </c>
    </row>
    <row r="35" ht="22" customHeight="1">
      <c r="A35" s="9" t="n">
        <v>46258</v>
      </c>
      <c r="B35" s="10" t="n">
        <v>4</v>
      </c>
      <c r="C35" s="10" t="n">
        <v>4.84388585967622</v>
      </c>
      <c r="D35" s="10" t="n">
        <v>99334.51633414459</v>
      </c>
      <c r="E35" s="10" t="n">
        <v>1</v>
      </c>
      <c r="F35" s="10" t="n">
        <v>0</v>
      </c>
      <c r="G35" s="12">
        <f>IF($A35="","",B35)</f>
        <v/>
      </c>
      <c r="H35" s="12">
        <f>IF($A35="","",ROUND(IFERROR(C35/B35,0),0))</f>
        <v/>
      </c>
      <c r="I35" s="11">
        <f>IF($A35="","",IFERROR(D35/Financier!D35,0))</f>
        <v/>
      </c>
      <c r="J35" s="11">
        <f>IF($A35="","",IFERROR(Financier!M35/Financier!G35,0))</f>
        <v/>
      </c>
      <c r="K35" s="12">
        <f>IF($A35="","",F35)</f>
        <v/>
      </c>
      <c r="L35" s="12">
        <f>IF($A35="","",E35)</f>
        <v/>
      </c>
    </row>
    <row r="36" ht="22" customHeight="1">
      <c r="A36" s="9" t="n">
        <v>46265</v>
      </c>
      <c r="B36" s="10" t="n">
        <v>1</v>
      </c>
      <c r="C36" s="10" t="n">
        <v>4.019656785716114</v>
      </c>
      <c r="D36" s="10" t="n">
        <v>182679.6301091882</v>
      </c>
      <c r="E36" s="10" t="n">
        <v>1</v>
      </c>
      <c r="F36" s="10" t="n">
        <v>0</v>
      </c>
      <c r="G36" s="12">
        <f>IF($A36="","",B36)</f>
        <v/>
      </c>
      <c r="H36" s="12">
        <f>IF($A36="","",ROUND(IFERROR(C36/B36,0),0))</f>
        <v/>
      </c>
      <c r="I36" s="11">
        <f>IF($A36="","",IFERROR(D36/Financier!D36,0))</f>
        <v/>
      </c>
      <c r="J36" s="11">
        <f>IF($A36="","",IFERROR(Financier!M36/Financier!G36,0))</f>
        <v/>
      </c>
      <c r="K36" s="12">
        <f>IF($A36="","",F36)</f>
        <v/>
      </c>
      <c r="L36" s="12">
        <f>IF($A36="","",E36)</f>
        <v/>
      </c>
    </row>
    <row r="37" ht="22" customHeight="1">
      <c r="A37" s="9" t="n">
        <v>46272</v>
      </c>
      <c r="B37" s="10" t="n">
        <v>6</v>
      </c>
      <c r="C37" s="10" t="n">
        <v>4.59806813734621</v>
      </c>
      <c r="D37" s="10" t="n">
        <v>229678.087397336</v>
      </c>
      <c r="E37" s="10" t="n">
        <v>1</v>
      </c>
      <c r="F37" s="10" t="n">
        <v>0</v>
      </c>
      <c r="G37" s="12">
        <f>IF($A37="","",B37)</f>
        <v/>
      </c>
      <c r="H37" s="12">
        <f>IF($A37="","",ROUND(IFERROR(C37/B37,0),0))</f>
        <v/>
      </c>
      <c r="I37" s="11">
        <f>IF($A37="","",IFERROR(D37/Financier!D37,0))</f>
        <v/>
      </c>
      <c r="J37" s="11">
        <f>IF($A37="","",IFERROR(Financier!M37/Financier!G37,0))</f>
        <v/>
      </c>
      <c r="K37" s="12">
        <f>IF($A37="","",F37)</f>
        <v/>
      </c>
      <c r="L37" s="12">
        <f>IF($A37="","",E37)</f>
        <v/>
      </c>
    </row>
    <row r="38" ht="22" customHeight="1">
      <c r="A38" s="9" t="n">
        <v>46279</v>
      </c>
      <c r="B38" s="10" t="n">
        <v>4</v>
      </c>
      <c r="C38" s="10" t="n">
        <v>4.897090566426079</v>
      </c>
      <c r="D38" s="10" t="n">
        <v>86823.19561959218</v>
      </c>
      <c r="E38" s="10" t="n">
        <v>0</v>
      </c>
      <c r="F38" s="10" t="n">
        <v>0</v>
      </c>
      <c r="G38" s="12">
        <f>IF($A38="","",B38)</f>
        <v/>
      </c>
      <c r="H38" s="12">
        <f>IF($A38="","",ROUND(IFERROR(C38/B38,0),0))</f>
        <v/>
      </c>
      <c r="I38" s="11">
        <f>IF($A38="","",IFERROR(D38/Financier!D38,0))</f>
        <v/>
      </c>
      <c r="J38" s="11">
        <f>IF($A38="","",IFERROR(Financier!M38/Financier!G38,0))</f>
        <v/>
      </c>
      <c r="K38" s="12">
        <f>IF($A38="","",F38)</f>
        <v/>
      </c>
      <c r="L38" s="12">
        <f>IF($A38="","",E38)</f>
        <v/>
      </c>
    </row>
    <row r="39" ht="22" customHeight="1">
      <c r="A39" s="9" t="n">
        <v>46286</v>
      </c>
      <c r="B39" s="10" t="n">
        <v>1</v>
      </c>
      <c r="C39" s="10" t="n">
        <v>5.790624785711453</v>
      </c>
      <c r="D39" s="10" t="n">
        <v>101120.0899690185</v>
      </c>
      <c r="E39" s="10" t="n">
        <v>2</v>
      </c>
      <c r="F39" s="10" t="n">
        <v>0</v>
      </c>
      <c r="G39" s="12">
        <f>IF($A39="","",B39)</f>
        <v/>
      </c>
      <c r="H39" s="12">
        <f>IF($A39="","",ROUND(IFERROR(C39/B39,0),0))</f>
        <v/>
      </c>
      <c r="I39" s="11">
        <f>IF($A39="","",IFERROR(D39/Financier!D39,0))</f>
        <v/>
      </c>
      <c r="J39" s="11">
        <f>IF($A39="","",IFERROR(Financier!M39/Financier!G39,0))</f>
        <v/>
      </c>
      <c r="K39" s="12">
        <f>IF($A39="","",F39)</f>
        <v/>
      </c>
      <c r="L39" s="12">
        <f>IF($A39="","",E39)</f>
        <v/>
      </c>
    </row>
    <row r="40" ht="22" customHeight="1">
      <c r="A40" s="9" t="n">
        <v>46293</v>
      </c>
      <c r="B40" s="10" t="n">
        <v>1</v>
      </c>
      <c r="C40" s="10" t="n">
        <v>3.593282119214376</v>
      </c>
      <c r="D40" s="10" t="n">
        <v>260824.7196880174</v>
      </c>
      <c r="E40" s="10" t="n">
        <v>2</v>
      </c>
      <c r="F40" s="10" t="n">
        <v>0</v>
      </c>
      <c r="G40" s="12">
        <f>IF($A40="","",B40)</f>
        <v/>
      </c>
      <c r="H40" s="12">
        <f>IF($A40="","",ROUND(IFERROR(C40/B40,0),0))</f>
        <v/>
      </c>
      <c r="I40" s="11">
        <f>IF($A40="","",IFERROR(D40/Financier!D40,0))</f>
        <v/>
      </c>
      <c r="J40" s="11">
        <f>IF($A40="","",IFERROR(Financier!M40/Financier!G40,0))</f>
        <v/>
      </c>
      <c r="K40" s="12">
        <f>IF($A40="","",F40)</f>
        <v/>
      </c>
      <c r="L40" s="12">
        <f>IF($A40="","",E40)</f>
        <v/>
      </c>
    </row>
    <row r="41" ht="22" customHeight="1">
      <c r="A41" s="9" t="n">
        <v>46300</v>
      </c>
      <c r="B41" s="10" t="n">
        <v>4</v>
      </c>
      <c r="C41" s="10" t="n">
        <v>2.150495942804471</v>
      </c>
      <c r="D41" s="10" t="n">
        <v>235939.3178525843</v>
      </c>
      <c r="E41" s="10" t="n">
        <v>2</v>
      </c>
      <c r="F41" s="10" t="n">
        <v>0</v>
      </c>
      <c r="G41" s="12">
        <f>IF($A41="","",B41)</f>
        <v/>
      </c>
      <c r="H41" s="12">
        <f>IF($A41="","",ROUND(IFERROR(C41/B41,0),0))</f>
        <v/>
      </c>
      <c r="I41" s="11">
        <f>IF($A41="","",IFERROR(D41/Financier!D41,0))</f>
        <v/>
      </c>
      <c r="J41" s="11">
        <f>IF($A41="","",IFERROR(Financier!M41/Financier!G41,0))</f>
        <v/>
      </c>
      <c r="K41" s="12">
        <f>IF($A41="","",F41)</f>
        <v/>
      </c>
      <c r="L41" s="12">
        <f>IF($A41="","",E41)</f>
        <v/>
      </c>
    </row>
    <row r="42" ht="22" customHeight="1">
      <c r="A42" s="9" t="n">
        <v>46307</v>
      </c>
      <c r="B42" s="10" t="n">
        <v>7</v>
      </c>
      <c r="C42" s="10" t="n">
        <v>2.705747527197478</v>
      </c>
      <c r="D42" s="10" t="n">
        <v>86461.14476270963</v>
      </c>
      <c r="E42" s="10" t="n">
        <v>2</v>
      </c>
      <c r="F42" s="10" t="n">
        <v>0</v>
      </c>
      <c r="G42" s="12">
        <f>IF($A42="","",B42)</f>
        <v/>
      </c>
      <c r="H42" s="12">
        <f>IF($A42="","",ROUND(IFERROR(C42/B42,0),0))</f>
        <v/>
      </c>
      <c r="I42" s="11">
        <f>IF($A42="","",IFERROR(D42/Financier!D42,0))</f>
        <v/>
      </c>
      <c r="J42" s="11">
        <f>IF($A42="","",IFERROR(Financier!M42/Financier!G42,0))</f>
        <v/>
      </c>
      <c r="K42" s="12">
        <f>IF($A42="","",F42)</f>
        <v/>
      </c>
      <c r="L42" s="12">
        <f>IF($A42="","",E42)</f>
        <v/>
      </c>
    </row>
    <row r="43" ht="22" customHeight="1">
      <c r="A43" s="9" t="n">
        <v>46314</v>
      </c>
      <c r="B43" s="10" t="n">
        <v>1</v>
      </c>
      <c r="C43" s="10" t="n">
        <v>2.205370066182527</v>
      </c>
      <c r="D43" s="10" t="n">
        <v>99944.20449182617</v>
      </c>
      <c r="E43" s="10" t="n">
        <v>1</v>
      </c>
      <c r="F43" s="10" t="n">
        <v>0</v>
      </c>
      <c r="G43" s="12">
        <f>IF($A43="","",B43)</f>
        <v/>
      </c>
      <c r="H43" s="12">
        <f>IF($A43="","",ROUND(IFERROR(C43/B43,0),0))</f>
        <v/>
      </c>
      <c r="I43" s="11">
        <f>IF($A43="","",IFERROR(D43/Financier!D43,0))</f>
        <v/>
      </c>
      <c r="J43" s="11">
        <f>IF($A43="","",IFERROR(Financier!M43/Financier!G43,0))</f>
        <v/>
      </c>
      <c r="K43" s="12">
        <f>IF($A43="","",F43)</f>
        <v/>
      </c>
      <c r="L43" s="12">
        <f>IF($A43="","",E43)</f>
        <v/>
      </c>
    </row>
    <row r="44" ht="22" customHeight="1">
      <c r="A44" s="9" t="n">
        <v>46321</v>
      </c>
      <c r="B44" s="10" t="n">
        <v>1</v>
      </c>
      <c r="C44" s="10" t="n">
        <v>2.399719165300838</v>
      </c>
      <c r="D44" s="10" t="n">
        <v>79825.99170615156</v>
      </c>
      <c r="E44" s="10" t="n">
        <v>1</v>
      </c>
      <c r="F44" s="10" t="n">
        <v>0</v>
      </c>
      <c r="G44" s="12">
        <f>IF($A44="","",B44)</f>
        <v/>
      </c>
      <c r="H44" s="12">
        <f>IF($A44="","",ROUND(IFERROR(C44/B44,0),0))</f>
        <v/>
      </c>
      <c r="I44" s="11">
        <f>IF($A44="","",IFERROR(D44/Financier!D44,0))</f>
        <v/>
      </c>
      <c r="J44" s="11">
        <f>IF($A44="","",IFERROR(Financier!M44/Financier!G44,0))</f>
        <v/>
      </c>
      <c r="K44" s="12">
        <f>IF($A44="","",F44)</f>
        <v/>
      </c>
      <c r="L44" s="12">
        <f>IF($A44="","",E44)</f>
        <v/>
      </c>
    </row>
    <row r="45" ht="22" customHeight="1">
      <c r="A45" s="9" t="n">
        <v>46328</v>
      </c>
      <c r="B45" s="10" t="n">
        <v>1</v>
      </c>
      <c r="C45" s="10" t="n">
        <v>3.045506010350049</v>
      </c>
      <c r="D45" s="10" t="n">
        <v>160824.7820009904</v>
      </c>
      <c r="E45" s="10" t="n">
        <v>3</v>
      </c>
      <c r="F45" s="10" t="n">
        <v>0</v>
      </c>
      <c r="G45" s="12">
        <f>IF($A45="","",B45)</f>
        <v/>
      </c>
      <c r="H45" s="12">
        <f>IF($A45="","",ROUND(IFERROR(C45/B45,0),0))</f>
        <v/>
      </c>
      <c r="I45" s="11">
        <f>IF($A45="","",IFERROR(D45/Financier!D45,0))</f>
        <v/>
      </c>
      <c r="J45" s="11">
        <f>IF($A45="","",IFERROR(Financier!M45/Financier!G45,0))</f>
        <v/>
      </c>
      <c r="K45" s="12">
        <f>IF($A45="","",F45)</f>
        <v/>
      </c>
      <c r="L45" s="12">
        <f>IF($A45="","",E45)</f>
        <v/>
      </c>
    </row>
    <row r="46" ht="22" customHeight="1">
      <c r="A46" s="9" t="n">
        <v>46335</v>
      </c>
      <c r="B46" s="10" t="n">
        <v>1</v>
      </c>
      <c r="C46" s="10" t="n">
        <v>0.8746614954510548</v>
      </c>
      <c r="D46" s="10" t="n">
        <v>237061.6582921075</v>
      </c>
      <c r="E46" s="10" t="n">
        <v>3</v>
      </c>
      <c r="F46" s="10" t="n">
        <v>0</v>
      </c>
      <c r="G46" s="12">
        <f>IF($A46="","",B46)</f>
        <v/>
      </c>
      <c r="H46" s="12">
        <f>IF($A46="","",ROUND(IFERROR(C46/B46,0),0))</f>
        <v/>
      </c>
      <c r="I46" s="11">
        <f>IF($A46="","",IFERROR(D46/Financier!D46,0))</f>
        <v/>
      </c>
      <c r="J46" s="11">
        <f>IF($A46="","",IFERROR(Financier!M46/Financier!G46,0))</f>
        <v/>
      </c>
      <c r="K46" s="12">
        <f>IF($A46="","",F46)</f>
        <v/>
      </c>
      <c r="L46" s="12">
        <f>IF($A46="","",E46)</f>
        <v/>
      </c>
    </row>
    <row r="47" ht="22" customHeight="1">
      <c r="A47" s="9" t="n">
        <v>46342</v>
      </c>
      <c r="B47" s="10" t="n">
        <v>10</v>
      </c>
      <c r="C47" s="10" t="n">
        <v>2.838260724653019</v>
      </c>
      <c r="D47" s="10" t="n">
        <v>372060.0633380974</v>
      </c>
      <c r="E47" s="10" t="n">
        <v>2</v>
      </c>
      <c r="F47" s="10" t="n">
        <v>0</v>
      </c>
      <c r="G47" s="12">
        <f>IF($A47="","",B47)</f>
        <v/>
      </c>
      <c r="H47" s="12">
        <f>IF($A47="","",ROUND(IFERROR(C47/B47,0),0))</f>
        <v/>
      </c>
      <c r="I47" s="11">
        <f>IF($A47="","",IFERROR(D47/Financier!D47,0))</f>
        <v/>
      </c>
      <c r="J47" s="11">
        <f>IF($A47="","",IFERROR(Financier!M47/Financier!G47,0))</f>
        <v/>
      </c>
      <c r="K47" s="12">
        <f>IF($A47="","",F47)</f>
        <v/>
      </c>
      <c r="L47" s="12">
        <f>IF($A47="","",E47)</f>
        <v/>
      </c>
    </row>
    <row r="48" ht="22" customHeight="1">
      <c r="A48" s="9" t="n">
        <v>46349</v>
      </c>
      <c r="B48" s="10" t="n">
        <v>5</v>
      </c>
      <c r="C48" s="10" t="n">
        <v>2.240869291420667</v>
      </c>
      <c r="D48" s="10" t="n">
        <v>173309.2036799359</v>
      </c>
      <c r="E48" s="10" t="n">
        <v>1</v>
      </c>
      <c r="F48" s="10" t="n">
        <v>0</v>
      </c>
      <c r="G48" s="12">
        <f>IF($A48="","",B48)</f>
        <v/>
      </c>
      <c r="H48" s="12">
        <f>IF($A48="","",ROUND(IFERROR(C48/B48,0),0))</f>
        <v/>
      </c>
      <c r="I48" s="11">
        <f>IF($A48="","",IFERROR(D48/Financier!D48,0))</f>
        <v/>
      </c>
      <c r="J48" s="11">
        <f>IF($A48="","",IFERROR(Financier!M48/Financier!G48,0))</f>
        <v/>
      </c>
      <c r="K48" s="12">
        <f>IF($A48="","",F48)</f>
        <v/>
      </c>
      <c r="L48" s="12">
        <f>IF($A48="","",E48)</f>
        <v/>
      </c>
    </row>
    <row r="49" ht="22" customHeight="1">
      <c r="A49" s="9" t="n">
        <v>46356</v>
      </c>
      <c r="B49" s="10" t="n">
        <v>3</v>
      </c>
      <c r="C49" s="10" t="n">
        <v>2.840605157506293</v>
      </c>
      <c r="D49" s="10" t="n">
        <v>280450.1833331677</v>
      </c>
      <c r="E49" s="10" t="n">
        <v>2</v>
      </c>
      <c r="F49" s="10" t="n">
        <v>0</v>
      </c>
      <c r="G49" s="12">
        <f>IF($A49="","",B49)</f>
        <v/>
      </c>
      <c r="H49" s="12">
        <f>IF($A49="","",ROUND(IFERROR(C49/B49,0),0))</f>
        <v/>
      </c>
      <c r="I49" s="11">
        <f>IF($A49="","",IFERROR(D49/Financier!D49,0))</f>
        <v/>
      </c>
      <c r="J49" s="11">
        <f>IF($A49="","",IFERROR(Financier!M49/Financier!G49,0))</f>
        <v/>
      </c>
      <c r="K49" s="12">
        <f>IF($A49="","",F49)</f>
        <v/>
      </c>
      <c r="L49" s="12">
        <f>IF($A49="","",E49)</f>
        <v/>
      </c>
    </row>
    <row r="50" ht="22" customHeight="1">
      <c r="A50" s="9" t="n">
        <v>46363</v>
      </c>
      <c r="B50" s="10" t="n">
        <v>2</v>
      </c>
      <c r="C50" s="10" t="n">
        <v>1.719061414112236</v>
      </c>
      <c r="D50" s="10" t="n">
        <v>357039.7676883906</v>
      </c>
      <c r="E50" s="10" t="n">
        <v>0</v>
      </c>
      <c r="F50" s="10" t="n">
        <v>0</v>
      </c>
      <c r="G50" s="12">
        <f>IF($A50="","",B50)</f>
        <v/>
      </c>
      <c r="H50" s="12">
        <f>IF($A50="","",ROUND(IFERROR(C50/B50,0),0))</f>
        <v/>
      </c>
      <c r="I50" s="11">
        <f>IF($A50="","",IFERROR(D50/Financier!D50,0))</f>
        <v/>
      </c>
      <c r="J50" s="11">
        <f>IF($A50="","",IFERROR(Financier!M50/Financier!G50,0))</f>
        <v/>
      </c>
      <c r="K50" s="12">
        <f>IF($A50="","",F50)</f>
        <v/>
      </c>
      <c r="L50" s="12">
        <f>IF($A50="","",E50)</f>
        <v/>
      </c>
    </row>
    <row r="51" ht="22" customHeight="1">
      <c r="A51" s="9" t="n">
        <v>46370</v>
      </c>
      <c r="B51" s="10" t="n">
        <v>4</v>
      </c>
      <c r="C51" s="10" t="n">
        <v>2.78487487590962</v>
      </c>
      <c r="D51" s="10" t="n">
        <v>553781.6575022716</v>
      </c>
      <c r="E51" s="10" t="n">
        <v>0</v>
      </c>
      <c r="F51" s="10" t="n">
        <v>0</v>
      </c>
      <c r="G51" s="12">
        <f>IF($A51="","",B51)</f>
        <v/>
      </c>
      <c r="H51" s="12">
        <f>IF($A51="","",ROUND(IFERROR(C51/B51,0),0))</f>
        <v/>
      </c>
      <c r="I51" s="11">
        <f>IF($A51="","",IFERROR(D51/Financier!D51,0))</f>
        <v/>
      </c>
      <c r="J51" s="11">
        <f>IF($A51="","",IFERROR(Financier!M51/Financier!G51,0))</f>
        <v/>
      </c>
      <c r="K51" s="12">
        <f>IF($A51="","",F51)</f>
        <v/>
      </c>
      <c r="L51" s="12">
        <f>IF($A51="","",E51)</f>
        <v/>
      </c>
    </row>
    <row r="52" ht="22" customHeight="1">
      <c r="A52" s="9" t="n">
        <v>46377</v>
      </c>
      <c r="B52" s="10" t="n">
        <v>1</v>
      </c>
      <c r="C52" s="10" t="n">
        <v>0.5</v>
      </c>
      <c r="D52" s="10" t="n">
        <v>382641.1905515816</v>
      </c>
      <c r="E52" s="10" t="n">
        <v>2</v>
      </c>
      <c r="F52" s="10" t="n">
        <v>0</v>
      </c>
      <c r="G52" s="12">
        <f>IF($A52="","",B52)</f>
        <v/>
      </c>
      <c r="H52" s="12">
        <f>IF($A52="","",ROUND(IFERROR(C52/B52,0),0))</f>
        <v/>
      </c>
      <c r="I52" s="11">
        <f>IF($A52="","",IFERROR(D52/Financier!D52,0))</f>
        <v/>
      </c>
      <c r="J52" s="11">
        <f>IF($A52="","",IFERROR(Financier!M52/Financier!G52,0))</f>
        <v/>
      </c>
      <c r="K52" s="12">
        <f>IF($A52="","",F52)</f>
        <v/>
      </c>
      <c r="L52" s="12">
        <f>IF($A52="","",E52)</f>
        <v/>
      </c>
    </row>
    <row r="53" ht="22" customHeight="1">
      <c r="A53" s="9" t="n">
        <v>46384</v>
      </c>
      <c r="B53" s="10" t="n">
        <v>13</v>
      </c>
      <c r="C53" s="10" t="n">
        <v>0.9989854695334306</v>
      </c>
      <c r="D53" s="10" t="n">
        <v>652455.9609105637</v>
      </c>
      <c r="E53" s="10" t="n">
        <v>0</v>
      </c>
      <c r="F53" s="10" t="n">
        <v>0</v>
      </c>
      <c r="G53" s="12">
        <f>IF($A53="","",B53)</f>
        <v/>
      </c>
      <c r="H53" s="12">
        <f>IF($A53="","",ROUND(IFERROR(C53/B53,0),0))</f>
        <v/>
      </c>
      <c r="I53" s="11">
        <f>IF($A53="","",IFERROR(D53/Financier!D53,0))</f>
        <v/>
      </c>
      <c r="J53" s="11">
        <f>IF($A53="","",IFERROR(Financier!M53/Financier!G53,0))</f>
        <v/>
      </c>
      <c r="K53" s="12">
        <f>IF($A53="","",F53)</f>
        <v/>
      </c>
      <c r="L53" s="12">
        <f>IF($A53="","",E53)</f>
        <v/>
      </c>
    </row>
    <row r="54" ht="22" customHeight="1">
      <c r="A54" s="9" t="n">
        <v>46391</v>
      </c>
      <c r="B54" s="10" t="n">
        <v>7</v>
      </c>
      <c r="C54" s="10" t="n">
        <v>1.898478232932464</v>
      </c>
      <c r="D54" s="10" t="n">
        <v>501950.0819828631</v>
      </c>
      <c r="E54" s="10" t="n">
        <v>3</v>
      </c>
      <c r="F54" s="10" t="n">
        <v>0</v>
      </c>
      <c r="G54" s="12">
        <f>IF($A54="","",B54)</f>
        <v/>
      </c>
      <c r="H54" s="12">
        <f>IF($A54="","",ROUND(IFERROR(C54/B54,0),0))</f>
        <v/>
      </c>
      <c r="I54" s="11">
        <f>IF($A54="","",IFERROR(D54/Financier!D54,0))</f>
        <v/>
      </c>
      <c r="J54" s="11">
        <f>IF($A54="","",IFERROR(Financier!M54/Financier!G54,0))</f>
        <v/>
      </c>
      <c r="K54" s="12">
        <f>IF($A54="","",F54)</f>
        <v/>
      </c>
      <c r="L54" s="12">
        <f>IF($A54="","",E54)</f>
        <v/>
      </c>
    </row>
    <row r="55" ht="22" customHeight="1">
      <c r="A55" s="9" t="n">
        <v>46398</v>
      </c>
      <c r="B55" s="10" t="n">
        <v>19</v>
      </c>
      <c r="C55" s="10" t="n">
        <v>2.872408439674365</v>
      </c>
      <c r="D55" s="10" t="n">
        <v>469584.4723606498</v>
      </c>
      <c r="E55" s="10" t="n">
        <v>2</v>
      </c>
      <c r="F55" s="10" t="n">
        <v>0</v>
      </c>
      <c r="G55" s="12">
        <f>IF($A55="","",B55)</f>
        <v/>
      </c>
      <c r="H55" s="12">
        <f>IF($A55="","",ROUND(IFERROR(C55/B55,0),0))</f>
        <v/>
      </c>
      <c r="I55" s="11">
        <f>IF($A55="","",IFERROR(D55/Financier!D55,0))</f>
        <v/>
      </c>
      <c r="J55" s="11">
        <f>IF($A55="","",IFERROR(Financier!M55/Financier!G55,0))</f>
        <v/>
      </c>
      <c r="K55" s="12">
        <f>IF($A55="","",F55)</f>
        <v/>
      </c>
      <c r="L55" s="12">
        <f>IF($A55="","",E55)</f>
        <v/>
      </c>
    </row>
    <row r="56" ht="22" customHeight="1">
      <c r="A56" s="9" t="n">
        <v>46405</v>
      </c>
      <c r="B56" s="10" t="n">
        <v>6</v>
      </c>
      <c r="C56" s="10" t="n">
        <v>2.506643334077765</v>
      </c>
      <c r="D56" s="10" t="n">
        <v>472769.4594255927</v>
      </c>
      <c r="E56" s="10" t="n">
        <v>3</v>
      </c>
      <c r="F56" s="10" t="n">
        <v>0</v>
      </c>
      <c r="G56" s="12">
        <f>IF($A56="","",B56)</f>
        <v/>
      </c>
      <c r="H56" s="12">
        <f>IF($A56="","",ROUND(IFERROR(C56/B56,0),0))</f>
        <v/>
      </c>
      <c r="I56" s="11">
        <f>IF($A56="","",IFERROR(D56/Financier!D56,0))</f>
        <v/>
      </c>
      <c r="J56" s="11">
        <f>IF($A56="","",IFERROR(Financier!M56/Financier!G56,0))</f>
        <v/>
      </c>
      <c r="K56" s="12">
        <f>IF($A56="","",F56)</f>
        <v/>
      </c>
      <c r="L56" s="12">
        <f>IF($A56="","",E56)</f>
        <v/>
      </c>
    </row>
    <row r="57" ht="22" customHeight="1">
      <c r="A57" s="9" t="n">
        <v>46412</v>
      </c>
      <c r="B57" s="10" t="n">
        <v>13</v>
      </c>
      <c r="C57" s="10" t="n">
        <v>2.834856661048944</v>
      </c>
      <c r="D57" s="10" t="n">
        <v>790374.246479907</v>
      </c>
      <c r="E57" s="10" t="n">
        <v>0</v>
      </c>
      <c r="F57" s="10" t="n">
        <v>0</v>
      </c>
      <c r="G57" s="12">
        <f>IF($A57="","",B57)</f>
        <v/>
      </c>
      <c r="H57" s="12">
        <f>IF($A57="","",ROUND(IFERROR(C57/B57,0),0))</f>
        <v/>
      </c>
      <c r="I57" s="11">
        <f>IF($A57="","",IFERROR(D57/Financier!D57,0))</f>
        <v/>
      </c>
      <c r="J57" s="11">
        <f>IF($A57="","",IFERROR(Financier!M57/Financier!G57,0))</f>
        <v/>
      </c>
      <c r="K57" s="12">
        <f>IF($A57="","",F57)</f>
        <v/>
      </c>
      <c r="L57" s="12">
        <f>IF($A57="","",E57)</f>
        <v/>
      </c>
    </row>
    <row r="58" ht="22" customHeight="1">
      <c r="A58" s="9" t="n">
        <v>46419</v>
      </c>
      <c r="B58" s="10" t="n">
        <v>10</v>
      </c>
      <c r="C58" s="10" t="n">
        <v>3.186744816618562</v>
      </c>
      <c r="D58" s="10" t="n">
        <v>459765.2510255263</v>
      </c>
      <c r="E58" s="10" t="n">
        <v>3</v>
      </c>
      <c r="F58" s="10" t="n">
        <v>0</v>
      </c>
      <c r="G58" s="12">
        <f>IF($A58="","",B58)</f>
        <v/>
      </c>
      <c r="H58" s="12">
        <f>IF($A58="","",ROUND(IFERROR(C58/B58,0),0))</f>
        <v/>
      </c>
      <c r="I58" s="11">
        <f>IF($A58="","",IFERROR(D58/Financier!D58,0))</f>
        <v/>
      </c>
      <c r="J58" s="11">
        <f>IF($A58="","",IFERROR(Financier!M58/Financier!G58,0))</f>
        <v/>
      </c>
      <c r="K58" s="12">
        <f>IF($A58="","",F58)</f>
        <v/>
      </c>
      <c r="L58" s="12">
        <f>IF($A58="","",E58)</f>
        <v/>
      </c>
    </row>
    <row r="59" ht="22" customHeight="1">
      <c r="A59" s="9" t="n">
        <v>46426</v>
      </c>
      <c r="B59" s="10" t="n">
        <v>4</v>
      </c>
      <c r="C59" s="10" t="n">
        <v>2.476494642449961</v>
      </c>
      <c r="D59" s="10" t="n">
        <v>557154.134094134</v>
      </c>
      <c r="E59" s="10" t="n">
        <v>3</v>
      </c>
      <c r="F59" s="10" t="n">
        <v>0</v>
      </c>
      <c r="G59" s="12">
        <f>IF($A59="","",B59)</f>
        <v/>
      </c>
      <c r="H59" s="12">
        <f>IF($A59="","",ROUND(IFERROR(C59/B59,0),0))</f>
        <v/>
      </c>
      <c r="I59" s="11">
        <f>IF($A59="","",IFERROR(D59/Financier!D59,0))</f>
        <v/>
      </c>
      <c r="J59" s="11">
        <f>IF($A59="","",IFERROR(Financier!M59/Financier!G59,0))</f>
        <v/>
      </c>
      <c r="K59" s="12">
        <f>IF($A59="","",F59)</f>
        <v/>
      </c>
      <c r="L59" s="12">
        <f>IF($A59="","",E59)</f>
        <v/>
      </c>
    </row>
    <row r="60" ht="22" customHeight="1">
      <c r="A60" s="9" t="n">
        <v>46433</v>
      </c>
      <c r="B60" s="10" t="n">
        <v>14</v>
      </c>
      <c r="C60" s="10" t="n">
        <v>3.0248791110297</v>
      </c>
      <c r="D60" s="10" t="n">
        <v>426066.363454249</v>
      </c>
      <c r="E60" s="10" t="n">
        <v>0</v>
      </c>
      <c r="F60" s="10" t="n">
        <v>0</v>
      </c>
      <c r="G60" s="12">
        <f>IF($A60="","",B60)</f>
        <v/>
      </c>
      <c r="H60" s="12">
        <f>IF($A60="","",ROUND(IFERROR(C60/B60,0),0))</f>
        <v/>
      </c>
      <c r="I60" s="11">
        <f>IF($A60="","",IFERROR(D60/Financier!D60,0))</f>
        <v/>
      </c>
      <c r="J60" s="11">
        <f>IF($A60="","",IFERROR(Financier!M60/Financier!G60,0))</f>
        <v/>
      </c>
      <c r="K60" s="12">
        <f>IF($A60="","",F60)</f>
        <v/>
      </c>
      <c r="L60" s="12">
        <f>IF($A60="","",E60)</f>
        <v/>
      </c>
    </row>
    <row r="61" ht="22" customHeight="1">
      <c r="A61" s="9" t="n">
        <v>46440</v>
      </c>
      <c r="B61" s="10" t="n">
        <v>11</v>
      </c>
      <c r="C61" s="10" t="n">
        <v>1.022004855744858</v>
      </c>
      <c r="D61" s="10" t="n">
        <v>756632.634659091</v>
      </c>
      <c r="E61" s="10" t="n">
        <v>2</v>
      </c>
      <c r="F61" s="10" t="n">
        <v>0</v>
      </c>
      <c r="G61" s="12">
        <f>IF($A61="","",B61)</f>
        <v/>
      </c>
      <c r="H61" s="12">
        <f>IF($A61="","",ROUND(IFERROR(C61/B61,0),0))</f>
        <v/>
      </c>
      <c r="I61" s="11">
        <f>IF($A61="","",IFERROR(D61/Financier!D61,0))</f>
        <v/>
      </c>
      <c r="J61" s="11">
        <f>IF($A61="","",IFERROR(Financier!M61/Financier!G61,0))</f>
        <v/>
      </c>
      <c r="K61" s="12">
        <f>IF($A61="","",F61)</f>
        <v/>
      </c>
      <c r="L61" s="12">
        <f>IF($A61="","",E61)</f>
        <v/>
      </c>
    </row>
    <row r="62" ht="22" customHeight="1">
      <c r="A62" s="9" t="n">
        <v>46447</v>
      </c>
      <c r="B62" s="10" t="n">
        <v>28</v>
      </c>
      <c r="C62" s="10" t="n">
        <v>2.909216524138651</v>
      </c>
      <c r="D62" s="10" t="n">
        <v>661360.429809145</v>
      </c>
      <c r="E62" s="10" t="n">
        <v>2</v>
      </c>
      <c r="F62" s="10" t="n">
        <v>0</v>
      </c>
      <c r="G62" s="12">
        <f>IF($A62="","",B62)</f>
        <v/>
      </c>
      <c r="H62" s="12">
        <f>IF($A62="","",ROUND(IFERROR(C62/B62,0),0))</f>
        <v/>
      </c>
      <c r="I62" s="11">
        <f>IF($A62="","",IFERROR(D62/Financier!D62,0))</f>
        <v/>
      </c>
      <c r="J62" s="11">
        <f>IF($A62="","",IFERROR(Financier!M62/Financier!G62,0))</f>
        <v/>
      </c>
      <c r="K62" s="12">
        <f>IF($A62="","",F62)</f>
        <v/>
      </c>
      <c r="L62" s="12">
        <f>IF($A62="","",E62)</f>
        <v/>
      </c>
    </row>
    <row r="63" ht="22" customHeight="1">
      <c r="A63" s="9" t="n">
        <v>46454</v>
      </c>
      <c r="B63" s="10" t="n">
        <v>19</v>
      </c>
      <c r="C63" s="10" t="n">
        <v>3.556680231266917</v>
      </c>
      <c r="D63" s="10" t="n">
        <v>549053.797804161</v>
      </c>
      <c r="E63" s="10" t="n">
        <v>0</v>
      </c>
      <c r="F63" s="10" t="n">
        <v>0</v>
      </c>
      <c r="G63" s="12">
        <f>IF($A63="","",B63)</f>
        <v/>
      </c>
      <c r="H63" s="12">
        <f>IF($A63="","",ROUND(IFERROR(C63/B63,0),0))</f>
        <v/>
      </c>
      <c r="I63" s="11">
        <f>IF($A63="","",IFERROR(D63/Financier!D63,0))</f>
        <v/>
      </c>
      <c r="J63" s="11">
        <f>IF($A63="","",IFERROR(Financier!M63/Financier!G63,0))</f>
        <v/>
      </c>
      <c r="K63" s="12">
        <f>IF($A63="","",F63)</f>
        <v/>
      </c>
      <c r="L63" s="12">
        <f>IF($A63="","",E63)</f>
        <v/>
      </c>
    </row>
    <row r="64" ht="22" customHeight="1">
      <c r="A64" s="9" t="n">
        <v>46461</v>
      </c>
      <c r="B64" s="10" t="n">
        <v>17</v>
      </c>
      <c r="C64" s="10" t="n">
        <v>3.679422734218364</v>
      </c>
      <c r="D64" s="10" t="n">
        <v>417021.9557318143</v>
      </c>
      <c r="E64" s="10" t="n">
        <v>2</v>
      </c>
      <c r="F64" s="10" t="n">
        <v>0</v>
      </c>
      <c r="G64" s="12">
        <f>IF($A64="","",B64)</f>
        <v/>
      </c>
      <c r="H64" s="12">
        <f>IF($A64="","",ROUND(IFERROR(C64/B64,0),0))</f>
        <v/>
      </c>
      <c r="I64" s="11">
        <f>IF($A64="","",IFERROR(D64/Financier!D64,0))</f>
        <v/>
      </c>
      <c r="J64" s="11">
        <f>IF($A64="","",IFERROR(Financier!M64/Financier!G64,0))</f>
        <v/>
      </c>
      <c r="K64" s="12">
        <f>IF($A64="","",F64)</f>
        <v/>
      </c>
      <c r="L64" s="12">
        <f>IF($A64="","",E64)</f>
        <v/>
      </c>
    </row>
    <row r="65" ht="22" customHeight="1">
      <c r="A65" s="9" t="n">
        <v>46468</v>
      </c>
      <c r="B65" s="10" t="n">
        <v>8</v>
      </c>
      <c r="C65" s="10" t="n">
        <v>3.996216780531377</v>
      </c>
      <c r="D65" s="10" t="n">
        <v>547732.4158934903</v>
      </c>
      <c r="E65" s="10" t="n">
        <v>0</v>
      </c>
      <c r="F65" s="10" t="n">
        <v>0</v>
      </c>
      <c r="G65" s="12">
        <f>IF($A65="","",B65)</f>
        <v/>
      </c>
      <c r="H65" s="12">
        <f>IF($A65="","",ROUND(IFERROR(C65/B65,0),0))</f>
        <v/>
      </c>
      <c r="I65" s="11">
        <f>IF($A65="","",IFERROR(D65/Financier!D65,0))</f>
        <v/>
      </c>
      <c r="J65" s="11">
        <f>IF($A65="","",IFERROR(Financier!M65/Financier!G65,0))</f>
        <v/>
      </c>
      <c r="K65" s="12">
        <f>IF($A65="","",F65)</f>
        <v/>
      </c>
      <c r="L65" s="12">
        <f>IF($A65="","",E65)</f>
        <v/>
      </c>
    </row>
    <row r="66" ht="22" customHeight="1">
      <c r="A66" s="9" t="n">
        <v>46475</v>
      </c>
      <c r="B66" s="10" t="n">
        <v>17</v>
      </c>
      <c r="C66" s="10" t="n">
        <v>3.22095613206685</v>
      </c>
      <c r="D66" s="10" t="n">
        <v>456438.9482438756</v>
      </c>
      <c r="E66" s="10" t="n">
        <v>1</v>
      </c>
      <c r="F66" s="10" t="n">
        <v>0</v>
      </c>
      <c r="G66" s="12">
        <f>IF($A66="","",B66)</f>
        <v/>
      </c>
      <c r="H66" s="12">
        <f>IF($A66="","",ROUND(IFERROR(C66/B66,0),0))</f>
        <v/>
      </c>
      <c r="I66" s="11">
        <f>IF($A66="","",IFERROR(D66/Financier!D66,0))</f>
        <v/>
      </c>
      <c r="J66" s="11">
        <f>IF($A66="","",IFERROR(Financier!M66/Financier!G66,0))</f>
        <v/>
      </c>
      <c r="K66" s="12">
        <f>IF($A66="","",F66)</f>
        <v/>
      </c>
      <c r="L66" s="12">
        <f>IF($A66="","",E66)</f>
        <v/>
      </c>
    </row>
    <row r="67" ht="22" customHeight="1">
      <c r="A67" s="9" t="n">
        <v>46482</v>
      </c>
      <c r="B67" s="10" t="n">
        <v>20</v>
      </c>
      <c r="C67" s="10" t="n">
        <v>4.830242174248195</v>
      </c>
      <c r="D67" s="10" t="n">
        <v>387635.5113763643</v>
      </c>
      <c r="E67" s="10" t="n">
        <v>0</v>
      </c>
      <c r="F67" s="10" t="n">
        <v>0</v>
      </c>
      <c r="G67" s="12">
        <f>IF($A67="","",B67)</f>
        <v/>
      </c>
      <c r="H67" s="12">
        <f>IF($A67="","",ROUND(IFERROR(C67/B67,0),0))</f>
        <v/>
      </c>
      <c r="I67" s="11">
        <f>IF($A67="","",IFERROR(D67/Financier!D67,0))</f>
        <v/>
      </c>
      <c r="J67" s="11">
        <f>IF($A67="","",IFERROR(Financier!M67/Financier!G67,0))</f>
        <v/>
      </c>
      <c r="K67" s="12">
        <f>IF($A67="","",F67)</f>
        <v/>
      </c>
      <c r="L67" s="12">
        <f>IF($A67="","",E67)</f>
        <v/>
      </c>
    </row>
    <row r="68" ht="22" customHeight="1">
      <c r="A68" s="9" t="n">
        <v>46489</v>
      </c>
      <c r="B68" s="10" t="n">
        <v>20</v>
      </c>
      <c r="C68" s="10" t="n">
        <v>5.154955675994449</v>
      </c>
      <c r="D68" s="10" t="n">
        <v>499179.7672745313</v>
      </c>
      <c r="E68" s="10" t="n">
        <v>1</v>
      </c>
      <c r="F68" s="10" t="n">
        <v>0</v>
      </c>
      <c r="G68" s="12">
        <f>IF($A68="","",B68)</f>
        <v/>
      </c>
      <c r="H68" s="12">
        <f>IF($A68="","",ROUND(IFERROR(C68/B68,0),0))</f>
        <v/>
      </c>
      <c r="I68" s="11">
        <f>IF($A68="","",IFERROR(D68/Financier!D68,0))</f>
        <v/>
      </c>
      <c r="J68" s="11">
        <f>IF($A68="","",IFERROR(Financier!M68/Financier!G68,0))</f>
        <v/>
      </c>
      <c r="K68" s="12">
        <f>IF($A68="","",F68)</f>
        <v/>
      </c>
      <c r="L68" s="12">
        <f>IF($A68="","",E68)</f>
        <v/>
      </c>
    </row>
    <row r="69" ht="22" customHeight="1">
      <c r="A69" s="9" t="n">
        <v>46496</v>
      </c>
      <c r="B69" s="10" t="n">
        <v>22</v>
      </c>
      <c r="C69" s="10" t="n">
        <v>5.379068242523564</v>
      </c>
      <c r="D69" s="10" t="n">
        <v>429431.6693485942</v>
      </c>
      <c r="E69" s="10" t="n">
        <v>0</v>
      </c>
      <c r="F69" s="10" t="n">
        <v>0</v>
      </c>
      <c r="G69" s="12">
        <f>IF($A69="","",B69)</f>
        <v/>
      </c>
      <c r="H69" s="12">
        <f>IF($A69="","",ROUND(IFERROR(C69/B69,0),0))</f>
        <v/>
      </c>
      <c r="I69" s="11">
        <f>IF($A69="","",IFERROR(D69/Financier!D69,0))</f>
        <v/>
      </c>
      <c r="J69" s="11">
        <f>IF($A69="","",IFERROR(Financier!M69/Financier!G69,0))</f>
        <v/>
      </c>
      <c r="K69" s="12">
        <f>IF($A69="","",F69)</f>
        <v/>
      </c>
      <c r="L69" s="12">
        <f>IF($A69="","",E69)</f>
        <v/>
      </c>
    </row>
    <row r="70" ht="22" customHeight="1">
      <c r="A70" s="9" t="n">
        <v>46503</v>
      </c>
      <c r="B70" s="10" t="n">
        <v>20</v>
      </c>
      <c r="C70" s="10" t="n">
        <v>3.7797168293044</v>
      </c>
      <c r="D70" s="10" t="n">
        <v>592606.4385216822</v>
      </c>
      <c r="E70" s="10" t="n">
        <v>0</v>
      </c>
      <c r="F70" s="10" t="n">
        <v>0</v>
      </c>
      <c r="G70" s="12">
        <f>IF($A70="","",B70)</f>
        <v/>
      </c>
      <c r="H70" s="12">
        <f>IF($A70="","",ROUND(IFERROR(C70/B70,0),0))</f>
        <v/>
      </c>
      <c r="I70" s="11">
        <f>IF($A70="","",IFERROR(D70/Financier!D70,0))</f>
        <v/>
      </c>
      <c r="J70" s="11">
        <f>IF($A70="","",IFERROR(Financier!M70/Financier!G70,0))</f>
        <v/>
      </c>
      <c r="K70" s="12">
        <f>IF($A70="","",F70)</f>
        <v/>
      </c>
      <c r="L70" s="12">
        <f>IF($A70="","",E70)</f>
        <v/>
      </c>
    </row>
    <row r="71" ht="22" customHeight="1">
      <c r="A71" s="9" t="n">
        <v>46510</v>
      </c>
      <c r="B71" s="10" t="n">
        <v>22</v>
      </c>
      <c r="C71" s="10" t="n">
        <v>5.150931422597536</v>
      </c>
      <c r="D71" s="10" t="n">
        <v>643909.3894478076</v>
      </c>
      <c r="E71" s="10" t="n">
        <v>1</v>
      </c>
      <c r="F71" s="10" t="n">
        <v>0</v>
      </c>
      <c r="G71" s="12">
        <f>IF($A71="","",B71)</f>
        <v/>
      </c>
      <c r="H71" s="12">
        <f>IF($A71="","",ROUND(IFERROR(C71/B71,0),0))</f>
        <v/>
      </c>
      <c r="I71" s="11">
        <f>IF($A71="","",IFERROR(D71/Financier!D71,0))</f>
        <v/>
      </c>
      <c r="J71" s="11">
        <f>IF($A71="","",IFERROR(Financier!M71/Financier!G71,0))</f>
        <v/>
      </c>
      <c r="K71" s="12">
        <f>IF($A71="","",F71)</f>
        <v/>
      </c>
      <c r="L71" s="12">
        <f>IF($A71="","",E71)</f>
        <v/>
      </c>
    </row>
    <row r="72" ht="22" customHeight="1">
      <c r="A72" s="9" t="n"/>
      <c r="B72" s="10" t="n"/>
      <c r="C72" s="10" t="n"/>
      <c r="D72" s="10" t="n"/>
      <c r="E72" s="10" t="n"/>
      <c r="F72" s="10" t="n"/>
      <c r="G72" s="12">
        <f>IF($A72="","",B72)</f>
        <v/>
      </c>
      <c r="H72" s="12">
        <f>IF($A72="","",ROUND(IFERROR(C72/B72,0),0))</f>
        <v/>
      </c>
      <c r="I72" s="11">
        <f>IF($A72="","",IFERROR(D72/Financier!D72,0))</f>
        <v/>
      </c>
      <c r="J72" s="11">
        <f>IF($A72="","",IFERROR(Financier!M72/Financier!G72,0))</f>
        <v/>
      </c>
      <c r="K72" s="12">
        <f>IF($A72="","",F72)</f>
        <v/>
      </c>
      <c r="L72" s="12">
        <f>IF($A72="","",E72)</f>
        <v/>
      </c>
    </row>
    <row r="73" ht="22" customHeight="1">
      <c r="A73" s="9" t="n"/>
      <c r="B73" s="10" t="n"/>
      <c r="C73" s="10" t="n"/>
      <c r="D73" s="10" t="n"/>
      <c r="E73" s="10" t="n"/>
      <c r="F73" s="10" t="n"/>
      <c r="G73" s="12">
        <f>IF($A73="","",B73)</f>
        <v/>
      </c>
      <c r="H73" s="12">
        <f>IF($A73="","",ROUND(IFERROR(C73/B73,0),0))</f>
        <v/>
      </c>
      <c r="I73" s="11">
        <f>IF($A73="","",IFERROR(D73/Financier!D73,0))</f>
        <v/>
      </c>
      <c r="J73" s="11">
        <f>IF($A73="","",IFERROR(Financier!M73/Financier!G73,0))</f>
        <v/>
      </c>
      <c r="K73" s="12">
        <f>IF($A73="","",F73)</f>
        <v/>
      </c>
      <c r="L73" s="12">
        <f>IF($A73="","",E73)</f>
        <v/>
      </c>
    </row>
    <row r="74" ht="22" customHeight="1">
      <c r="A74" s="9" t="n"/>
      <c r="B74" s="10" t="n"/>
      <c r="C74" s="10" t="n"/>
      <c r="D74" s="10" t="n"/>
      <c r="E74" s="10" t="n"/>
      <c r="F74" s="10" t="n"/>
      <c r="G74" s="12">
        <f>IF($A74="","",B74)</f>
        <v/>
      </c>
      <c r="H74" s="12">
        <f>IF($A74="","",ROUND(IFERROR(C74/B74,0),0))</f>
        <v/>
      </c>
      <c r="I74" s="11">
        <f>IF($A74="","",IFERROR(D74/Financier!D74,0))</f>
        <v/>
      </c>
      <c r="J74" s="11">
        <f>IF($A74="","",IFERROR(Financier!M74/Financier!G74,0))</f>
        <v/>
      </c>
      <c r="K74" s="12">
        <f>IF($A74="","",F74)</f>
        <v/>
      </c>
      <c r="L74" s="12">
        <f>IF($A74="","",E74)</f>
        <v/>
      </c>
    </row>
    <row r="75" ht="22" customHeight="1">
      <c r="A75" s="9" t="n"/>
      <c r="B75" s="10" t="n"/>
      <c r="C75" s="10" t="n"/>
      <c r="D75" s="10" t="n"/>
      <c r="E75" s="10" t="n"/>
      <c r="F75" s="10" t="n"/>
      <c r="G75" s="12">
        <f>IF($A75="","",B75)</f>
        <v/>
      </c>
      <c r="H75" s="12">
        <f>IF($A75="","",ROUND(IFERROR(C75/B75,0),0))</f>
        <v/>
      </c>
      <c r="I75" s="11">
        <f>IF($A75="","",IFERROR(D75/Financier!D75,0))</f>
        <v/>
      </c>
      <c r="J75" s="11">
        <f>IF($A75="","",IFERROR(Financier!M75/Financier!G75,0))</f>
        <v/>
      </c>
      <c r="K75" s="12">
        <f>IF($A75="","",F75)</f>
        <v/>
      </c>
      <c r="L75" s="12">
        <f>IF($A75="","",E75)</f>
        <v/>
      </c>
    </row>
    <row r="76" ht="22" customHeight="1">
      <c r="A76" s="9" t="n"/>
      <c r="B76" s="10" t="n"/>
      <c r="C76" s="10" t="n"/>
      <c r="D76" s="10" t="n"/>
      <c r="E76" s="10" t="n"/>
      <c r="F76" s="10" t="n"/>
      <c r="G76" s="12">
        <f>IF($A76="","",B76)</f>
        <v/>
      </c>
      <c r="H76" s="12">
        <f>IF($A76="","",ROUND(IFERROR(C76/B76,0),0))</f>
        <v/>
      </c>
      <c r="I76" s="11">
        <f>IF($A76="","",IFERROR(D76/Financier!D76,0))</f>
        <v/>
      </c>
      <c r="J76" s="11">
        <f>IF($A76="","",IFERROR(Financier!M76/Financier!G76,0))</f>
        <v/>
      </c>
      <c r="K76" s="12">
        <f>IF($A76="","",F76)</f>
        <v/>
      </c>
      <c r="L76" s="12">
        <f>IF($A76="","",E76)</f>
        <v/>
      </c>
    </row>
    <row r="77" ht="22" customHeight="1">
      <c r="A77" s="9" t="n"/>
      <c r="B77" s="10" t="n"/>
      <c r="C77" s="10" t="n"/>
      <c r="D77" s="10" t="n"/>
      <c r="E77" s="10" t="n"/>
      <c r="F77" s="10" t="n"/>
      <c r="G77" s="12">
        <f>IF($A77="","",B77)</f>
        <v/>
      </c>
      <c r="H77" s="12">
        <f>IF($A77="","",ROUND(IFERROR(C77/B77,0),0))</f>
        <v/>
      </c>
      <c r="I77" s="11">
        <f>IF($A77="","",IFERROR(D77/Financier!D77,0))</f>
        <v/>
      </c>
      <c r="J77" s="11">
        <f>IF($A77="","",IFERROR(Financier!M77/Financier!G77,0))</f>
        <v/>
      </c>
      <c r="K77" s="12">
        <f>IF($A77="","",F77)</f>
        <v/>
      </c>
      <c r="L77" s="12">
        <f>IF($A77="","",E77)</f>
        <v/>
      </c>
    </row>
    <row r="78" ht="22" customHeight="1">
      <c r="A78" s="9" t="n"/>
      <c r="B78" s="10" t="n"/>
      <c r="C78" s="10" t="n"/>
      <c r="D78" s="10" t="n"/>
      <c r="E78" s="10" t="n"/>
      <c r="F78" s="10" t="n"/>
      <c r="G78" s="12">
        <f>IF($A78="","",B78)</f>
        <v/>
      </c>
      <c r="H78" s="12">
        <f>IF($A78="","",ROUND(IFERROR(C78/B78,0),0))</f>
        <v/>
      </c>
      <c r="I78" s="11">
        <f>IF($A78="","",IFERROR(D78/Financier!D78,0))</f>
        <v/>
      </c>
      <c r="J78" s="11">
        <f>IF($A78="","",IFERROR(Financier!M78/Financier!G78,0))</f>
        <v/>
      </c>
      <c r="K78" s="12">
        <f>IF($A78="","",F78)</f>
        <v/>
      </c>
      <c r="L78" s="12">
        <f>IF($A78="","",E78)</f>
        <v/>
      </c>
    </row>
    <row r="79" ht="22" customHeight="1">
      <c r="A79" s="9" t="n"/>
      <c r="B79" s="10" t="n"/>
      <c r="C79" s="10" t="n"/>
      <c r="D79" s="10" t="n"/>
      <c r="E79" s="10" t="n"/>
      <c r="F79" s="10" t="n"/>
      <c r="G79" s="12">
        <f>IF($A79="","",B79)</f>
        <v/>
      </c>
      <c r="H79" s="12">
        <f>IF($A79="","",ROUND(IFERROR(C79/B79,0),0))</f>
        <v/>
      </c>
      <c r="I79" s="11">
        <f>IF($A79="","",IFERROR(D79/Financier!D79,0))</f>
        <v/>
      </c>
      <c r="J79" s="11">
        <f>IF($A79="","",IFERROR(Financier!M79/Financier!G79,0))</f>
        <v/>
      </c>
      <c r="K79" s="12">
        <f>IF($A79="","",F79)</f>
        <v/>
      </c>
      <c r="L79" s="12">
        <f>IF($A79="","",E79)</f>
        <v/>
      </c>
    </row>
    <row r="80" ht="22" customHeight="1">
      <c r="A80" s="9" t="n"/>
      <c r="B80" s="10" t="n"/>
      <c r="C80" s="10" t="n"/>
      <c r="D80" s="10" t="n"/>
      <c r="E80" s="10" t="n"/>
      <c r="F80" s="10" t="n"/>
      <c r="G80" s="12">
        <f>IF($A80="","",B80)</f>
        <v/>
      </c>
      <c r="H80" s="12">
        <f>IF($A80="","",ROUND(IFERROR(C80/B80,0),0))</f>
        <v/>
      </c>
      <c r="I80" s="11">
        <f>IF($A80="","",IFERROR(D80/Financier!D80,0))</f>
        <v/>
      </c>
      <c r="J80" s="11">
        <f>IF($A80="","",IFERROR(Financier!M80/Financier!G80,0))</f>
        <v/>
      </c>
      <c r="K80" s="12">
        <f>IF($A80="","",F80)</f>
        <v/>
      </c>
      <c r="L80" s="12">
        <f>IF($A80="","",E80)</f>
        <v/>
      </c>
    </row>
    <row r="81" ht="22" customHeight="1">
      <c r="A81" s="9" t="n"/>
      <c r="B81" s="10" t="n"/>
      <c r="C81" s="10" t="n"/>
      <c r="D81" s="10" t="n"/>
      <c r="E81" s="10" t="n"/>
      <c r="F81" s="10" t="n"/>
      <c r="G81" s="12">
        <f>IF($A81="","",B81)</f>
        <v/>
      </c>
      <c r="H81" s="12">
        <f>IF($A81="","",ROUND(IFERROR(C81/B81,0),0))</f>
        <v/>
      </c>
      <c r="I81" s="11">
        <f>IF($A81="","",IFERROR(D81/Financier!D81,0))</f>
        <v/>
      </c>
      <c r="J81" s="11">
        <f>IF($A81="","",IFERROR(Financier!M81/Financier!G81,0))</f>
        <v/>
      </c>
      <c r="K81" s="12">
        <f>IF($A81="","",F81)</f>
        <v/>
      </c>
      <c r="L81" s="12">
        <f>IF($A81="","",E81)</f>
        <v/>
      </c>
    </row>
    <row r="82" ht="22" customHeight="1">
      <c r="A82" s="9" t="n"/>
      <c r="B82" s="10" t="n"/>
      <c r="C82" s="10" t="n"/>
      <c r="D82" s="10" t="n"/>
      <c r="E82" s="10" t="n"/>
      <c r="F82" s="10" t="n"/>
      <c r="G82" s="12">
        <f>IF($A82="","",B82)</f>
        <v/>
      </c>
      <c r="H82" s="12">
        <f>IF($A82="","",ROUND(IFERROR(C82/B82,0),0))</f>
        <v/>
      </c>
      <c r="I82" s="11">
        <f>IF($A82="","",IFERROR(D82/Financier!D82,0))</f>
        <v/>
      </c>
      <c r="J82" s="11">
        <f>IF($A82="","",IFERROR(Financier!M82/Financier!G82,0))</f>
        <v/>
      </c>
      <c r="K82" s="12">
        <f>IF($A82="","",F82)</f>
        <v/>
      </c>
      <c r="L82" s="12">
        <f>IF($A82="","",E82)</f>
        <v/>
      </c>
    </row>
    <row r="83" ht="22" customHeight="1">
      <c r="A83" s="9" t="n"/>
      <c r="B83" s="10" t="n"/>
      <c r="C83" s="10" t="n"/>
      <c r="D83" s="10" t="n"/>
      <c r="E83" s="10" t="n"/>
      <c r="F83" s="10" t="n"/>
      <c r="G83" s="12">
        <f>IF($A83="","",B83)</f>
        <v/>
      </c>
      <c r="H83" s="12">
        <f>IF($A83="","",ROUND(IFERROR(C83/B83,0),0))</f>
        <v/>
      </c>
      <c r="I83" s="11">
        <f>IF($A83="","",IFERROR(D83/Financier!D83,0))</f>
        <v/>
      </c>
      <c r="J83" s="11">
        <f>IF($A83="","",IFERROR(Financier!M83/Financier!G83,0))</f>
        <v/>
      </c>
      <c r="K83" s="12">
        <f>IF($A83="","",F83)</f>
        <v/>
      </c>
      <c r="L83" s="12">
        <f>IF($A83="","",E83)</f>
        <v/>
      </c>
    </row>
    <row r="84" ht="22" customHeight="1">
      <c r="A84" s="9" t="n"/>
      <c r="B84" s="10" t="n"/>
      <c r="C84" s="10" t="n"/>
      <c r="D84" s="10" t="n"/>
      <c r="E84" s="10" t="n"/>
      <c r="F84" s="10" t="n"/>
      <c r="G84" s="12">
        <f>IF($A84="","",B84)</f>
        <v/>
      </c>
      <c r="H84" s="12">
        <f>IF($A84="","",ROUND(IFERROR(C84/B84,0),0))</f>
        <v/>
      </c>
      <c r="I84" s="11">
        <f>IF($A84="","",IFERROR(D84/Financier!D84,0))</f>
        <v/>
      </c>
      <c r="J84" s="11">
        <f>IF($A84="","",IFERROR(Financier!M84/Financier!G84,0))</f>
        <v/>
      </c>
      <c r="K84" s="12">
        <f>IF($A84="","",F84)</f>
        <v/>
      </c>
      <c r="L84" s="12">
        <f>IF($A84="","",E84)</f>
        <v/>
      </c>
    </row>
    <row r="85" ht="22" customHeight="1">
      <c r="A85" s="9" t="n"/>
      <c r="B85" s="10" t="n"/>
      <c r="C85" s="10" t="n"/>
      <c r="D85" s="10" t="n"/>
      <c r="E85" s="10" t="n"/>
      <c r="F85" s="10" t="n"/>
      <c r="G85" s="12">
        <f>IF($A85="","",B85)</f>
        <v/>
      </c>
      <c r="H85" s="12">
        <f>IF($A85="","",ROUND(IFERROR(C85/B85,0),0))</f>
        <v/>
      </c>
      <c r="I85" s="11">
        <f>IF($A85="","",IFERROR(D85/Financier!D85,0))</f>
        <v/>
      </c>
      <c r="J85" s="11">
        <f>IF($A85="","",IFERROR(Financier!M85/Financier!G85,0))</f>
        <v/>
      </c>
      <c r="K85" s="12">
        <f>IF($A85="","",F85)</f>
        <v/>
      </c>
      <c r="L85" s="12">
        <f>IF($A85="","",E85)</f>
        <v/>
      </c>
    </row>
    <row r="86" ht="22" customHeight="1">
      <c r="A86" s="9" t="n"/>
      <c r="B86" s="10" t="n"/>
      <c r="C86" s="10" t="n"/>
      <c r="D86" s="10" t="n"/>
      <c r="E86" s="10" t="n"/>
      <c r="F86" s="10" t="n"/>
      <c r="G86" s="12">
        <f>IF($A86="","",B86)</f>
        <v/>
      </c>
      <c r="H86" s="12">
        <f>IF($A86="","",ROUND(IFERROR(C86/B86,0),0))</f>
        <v/>
      </c>
      <c r="I86" s="11">
        <f>IF($A86="","",IFERROR(D86/Financier!D86,0))</f>
        <v/>
      </c>
      <c r="J86" s="11">
        <f>IF($A86="","",IFERROR(Financier!M86/Financier!G86,0))</f>
        <v/>
      </c>
      <c r="K86" s="12">
        <f>IF($A86="","",F86)</f>
        <v/>
      </c>
      <c r="L86" s="12">
        <f>IF($A86="","",E86)</f>
        <v/>
      </c>
    </row>
    <row r="87" ht="22" customHeight="1">
      <c r="A87" s="9" t="n"/>
      <c r="B87" s="10" t="n"/>
      <c r="C87" s="10" t="n"/>
      <c r="D87" s="10" t="n"/>
      <c r="E87" s="10" t="n"/>
      <c r="F87" s="10" t="n"/>
      <c r="G87" s="12">
        <f>IF($A87="","",B87)</f>
        <v/>
      </c>
      <c r="H87" s="12">
        <f>IF($A87="","",ROUND(IFERROR(C87/B87,0),0))</f>
        <v/>
      </c>
      <c r="I87" s="11">
        <f>IF($A87="","",IFERROR(D87/Financier!D87,0))</f>
        <v/>
      </c>
      <c r="J87" s="11">
        <f>IF($A87="","",IFERROR(Financier!M87/Financier!G87,0))</f>
        <v/>
      </c>
      <c r="K87" s="12">
        <f>IF($A87="","",F87)</f>
        <v/>
      </c>
      <c r="L87" s="12">
        <f>IF($A87="","",E87)</f>
        <v/>
      </c>
    </row>
    <row r="88" ht="22" customHeight="1">
      <c r="A88" s="9" t="n"/>
      <c r="B88" s="10" t="n"/>
      <c r="C88" s="10" t="n"/>
      <c r="D88" s="10" t="n"/>
      <c r="E88" s="10" t="n"/>
      <c r="F88" s="10" t="n"/>
      <c r="G88" s="12">
        <f>IF($A88="","",B88)</f>
        <v/>
      </c>
      <c r="H88" s="12">
        <f>IF($A88="","",ROUND(IFERROR(C88/B88,0),0))</f>
        <v/>
      </c>
      <c r="I88" s="11">
        <f>IF($A88="","",IFERROR(D88/Financier!D88,0))</f>
        <v/>
      </c>
      <c r="J88" s="11">
        <f>IF($A88="","",IFERROR(Financier!M88/Financier!G88,0))</f>
        <v/>
      </c>
      <c r="K88" s="12">
        <f>IF($A88="","",F88)</f>
        <v/>
      </c>
      <c r="L88" s="12">
        <f>IF($A88="","",E88)</f>
        <v/>
      </c>
    </row>
    <row r="89" ht="22" customHeight="1">
      <c r="A89" s="9" t="n"/>
      <c r="B89" s="10" t="n"/>
      <c r="C89" s="10" t="n"/>
      <c r="D89" s="10" t="n"/>
      <c r="E89" s="10" t="n"/>
      <c r="F89" s="10" t="n"/>
      <c r="G89" s="12">
        <f>IF($A89="","",B89)</f>
        <v/>
      </c>
      <c r="H89" s="12">
        <f>IF($A89="","",ROUND(IFERROR(C89/B89,0),0))</f>
        <v/>
      </c>
      <c r="I89" s="11">
        <f>IF($A89="","",IFERROR(D89/Financier!D89,0))</f>
        <v/>
      </c>
      <c r="J89" s="11">
        <f>IF($A89="","",IFERROR(Financier!M89/Financier!G89,0))</f>
        <v/>
      </c>
      <c r="K89" s="12">
        <f>IF($A89="","",F89)</f>
        <v/>
      </c>
      <c r="L89" s="12">
        <f>IF($A89="","",E89)</f>
        <v/>
      </c>
    </row>
    <row r="90" ht="22" customHeight="1">
      <c r="A90" s="9" t="n"/>
      <c r="B90" s="10" t="n"/>
      <c r="C90" s="10" t="n"/>
      <c r="D90" s="10" t="n"/>
      <c r="E90" s="10" t="n"/>
      <c r="F90" s="10" t="n"/>
      <c r="G90" s="12">
        <f>IF($A90="","",B90)</f>
        <v/>
      </c>
      <c r="H90" s="12">
        <f>IF($A90="","",ROUND(IFERROR(C90/B90,0),0))</f>
        <v/>
      </c>
      <c r="I90" s="11">
        <f>IF($A90="","",IFERROR(D90/Financier!D90,0))</f>
        <v/>
      </c>
      <c r="J90" s="11">
        <f>IF($A90="","",IFERROR(Financier!M90/Financier!G90,0))</f>
        <v/>
      </c>
      <c r="K90" s="12">
        <f>IF($A90="","",F90)</f>
        <v/>
      </c>
      <c r="L90" s="12">
        <f>IF($A90="","",E90)</f>
        <v/>
      </c>
    </row>
    <row r="91" ht="22" customHeight="1">
      <c r="A91" s="9" t="n"/>
      <c r="B91" s="10" t="n"/>
      <c r="C91" s="10" t="n"/>
      <c r="D91" s="10" t="n"/>
      <c r="E91" s="10" t="n"/>
      <c r="F91" s="10" t="n"/>
      <c r="G91" s="12">
        <f>IF($A91="","",B91)</f>
        <v/>
      </c>
      <c r="H91" s="12">
        <f>IF($A91="","",ROUND(IFERROR(C91/B91,0),0))</f>
        <v/>
      </c>
      <c r="I91" s="11">
        <f>IF($A91="","",IFERROR(D91/Financier!D91,0))</f>
        <v/>
      </c>
      <c r="J91" s="11">
        <f>IF($A91="","",IFERROR(Financier!M91/Financier!G91,0))</f>
        <v/>
      </c>
      <c r="K91" s="12">
        <f>IF($A91="","",F91)</f>
        <v/>
      </c>
      <c r="L91" s="12">
        <f>IF($A91="","",E91)</f>
        <v/>
      </c>
    </row>
    <row r="92" ht="22" customHeight="1">
      <c r="A92" s="9" t="n"/>
      <c r="B92" s="10" t="n"/>
      <c r="C92" s="10" t="n"/>
      <c r="D92" s="10" t="n"/>
      <c r="E92" s="10" t="n"/>
      <c r="F92" s="10" t="n"/>
      <c r="G92" s="12">
        <f>IF($A92="","",B92)</f>
        <v/>
      </c>
      <c r="H92" s="12">
        <f>IF($A92="","",ROUND(IFERROR(C92/B92,0),0))</f>
        <v/>
      </c>
      <c r="I92" s="11">
        <f>IF($A92="","",IFERROR(D92/Financier!D92,0))</f>
        <v/>
      </c>
      <c r="J92" s="11">
        <f>IF($A92="","",IFERROR(Financier!M92/Financier!G92,0))</f>
        <v/>
      </c>
      <c r="K92" s="12">
        <f>IF($A92="","",F92)</f>
        <v/>
      </c>
      <c r="L92" s="12">
        <f>IF($A92="","",E92)</f>
        <v/>
      </c>
    </row>
    <row r="93" ht="22" customHeight="1">
      <c r="A93" s="9" t="n"/>
      <c r="B93" s="10" t="n"/>
      <c r="C93" s="10" t="n"/>
      <c r="D93" s="10" t="n"/>
      <c r="E93" s="10" t="n"/>
      <c r="F93" s="10" t="n"/>
      <c r="G93" s="12">
        <f>IF($A93="","",B93)</f>
        <v/>
      </c>
      <c r="H93" s="12">
        <f>IF($A93="","",ROUND(IFERROR(C93/B93,0),0))</f>
        <v/>
      </c>
      <c r="I93" s="11">
        <f>IF($A93="","",IFERROR(D93/Financier!D93,0))</f>
        <v/>
      </c>
      <c r="J93" s="11">
        <f>IF($A93="","",IFERROR(Financier!M93/Financier!G93,0))</f>
        <v/>
      </c>
      <c r="K93" s="12">
        <f>IF($A93="","",F93)</f>
        <v/>
      </c>
      <c r="L93" s="12">
        <f>IF($A93="","",E93)</f>
        <v/>
      </c>
    </row>
    <row r="94" ht="22" customHeight="1">
      <c r="A94" s="9" t="n"/>
      <c r="B94" s="10" t="n"/>
      <c r="C94" s="10" t="n"/>
      <c r="D94" s="10" t="n"/>
      <c r="E94" s="10" t="n"/>
      <c r="F94" s="10" t="n"/>
      <c r="G94" s="12">
        <f>IF($A94="","",B94)</f>
        <v/>
      </c>
      <c r="H94" s="12">
        <f>IF($A94="","",ROUND(IFERROR(C94/B94,0),0))</f>
        <v/>
      </c>
      <c r="I94" s="11">
        <f>IF($A94="","",IFERROR(D94/Financier!D94,0))</f>
        <v/>
      </c>
      <c r="J94" s="11">
        <f>IF($A94="","",IFERROR(Financier!M94/Financier!G94,0))</f>
        <v/>
      </c>
      <c r="K94" s="12">
        <f>IF($A94="","",F94)</f>
        <v/>
      </c>
      <c r="L94" s="12">
        <f>IF($A94="","",E94)</f>
        <v/>
      </c>
    </row>
    <row r="95" ht="22" customHeight="1">
      <c r="A95" s="9" t="n"/>
      <c r="B95" s="10" t="n"/>
      <c r="C95" s="10" t="n"/>
      <c r="D95" s="10" t="n"/>
      <c r="E95" s="10" t="n"/>
      <c r="F95" s="10" t="n"/>
      <c r="G95" s="12">
        <f>IF($A95="","",B95)</f>
        <v/>
      </c>
      <c r="H95" s="12">
        <f>IF($A95="","",ROUND(IFERROR(C95/B95,0),0))</f>
        <v/>
      </c>
      <c r="I95" s="11">
        <f>IF($A95="","",IFERROR(D95/Financier!D95,0))</f>
        <v/>
      </c>
      <c r="J95" s="11">
        <f>IF($A95="","",IFERROR(Financier!M95/Financier!G95,0))</f>
        <v/>
      </c>
      <c r="K95" s="12">
        <f>IF($A95="","",F95)</f>
        <v/>
      </c>
      <c r="L95" s="12">
        <f>IF($A95="","",E95)</f>
        <v/>
      </c>
    </row>
    <row r="96" ht="22" customHeight="1">
      <c r="A96" s="9" t="n"/>
      <c r="B96" s="10" t="n"/>
      <c r="C96" s="10" t="n"/>
      <c r="D96" s="10" t="n"/>
      <c r="E96" s="10" t="n"/>
      <c r="F96" s="10" t="n"/>
      <c r="G96" s="12">
        <f>IF($A96="","",B96)</f>
        <v/>
      </c>
      <c r="H96" s="12">
        <f>IF($A96="","",ROUND(IFERROR(C96/B96,0),0))</f>
        <v/>
      </c>
      <c r="I96" s="11">
        <f>IF($A96="","",IFERROR(D96/Financier!D96,0))</f>
        <v/>
      </c>
      <c r="J96" s="11">
        <f>IF($A96="","",IFERROR(Financier!M96/Financier!G96,0))</f>
        <v/>
      </c>
      <c r="K96" s="12">
        <f>IF($A96="","",F96)</f>
        <v/>
      </c>
      <c r="L96" s="12">
        <f>IF($A96="","",E96)</f>
        <v/>
      </c>
    </row>
    <row r="97" ht="22" customHeight="1">
      <c r="A97" s="9" t="n"/>
      <c r="B97" s="10" t="n"/>
      <c r="C97" s="10" t="n"/>
      <c r="D97" s="10" t="n"/>
      <c r="E97" s="10" t="n"/>
      <c r="F97" s="10" t="n"/>
      <c r="G97" s="12">
        <f>IF($A97="","",B97)</f>
        <v/>
      </c>
      <c r="H97" s="12">
        <f>IF($A97="","",ROUND(IFERROR(C97/B97,0),0))</f>
        <v/>
      </c>
      <c r="I97" s="11">
        <f>IF($A97="","",IFERROR(D97/Financier!D97,0))</f>
        <v/>
      </c>
      <c r="J97" s="11">
        <f>IF($A97="","",IFERROR(Financier!M97/Financier!G97,0))</f>
        <v/>
      </c>
      <c r="K97" s="12">
        <f>IF($A97="","",F97)</f>
        <v/>
      </c>
      <c r="L97" s="12">
        <f>IF($A97="","",E97)</f>
        <v/>
      </c>
    </row>
    <row r="98" ht="22" customHeight="1">
      <c r="A98" s="9" t="n"/>
      <c r="B98" s="10" t="n"/>
      <c r="C98" s="10" t="n"/>
      <c r="D98" s="10" t="n"/>
      <c r="E98" s="10" t="n"/>
      <c r="F98" s="10" t="n"/>
      <c r="G98" s="12">
        <f>IF($A98="","",B98)</f>
        <v/>
      </c>
      <c r="H98" s="12">
        <f>IF($A98="","",ROUND(IFERROR(C98/B98,0),0))</f>
        <v/>
      </c>
      <c r="I98" s="11">
        <f>IF($A98="","",IFERROR(D98/Financier!D98,0))</f>
        <v/>
      </c>
      <c r="J98" s="11">
        <f>IF($A98="","",IFERROR(Financier!M98/Financier!G98,0))</f>
        <v/>
      </c>
      <c r="K98" s="12">
        <f>IF($A98="","",F98)</f>
        <v/>
      </c>
      <c r="L98" s="12">
        <f>IF($A98="","",E98)</f>
        <v/>
      </c>
    </row>
    <row r="99" ht="22" customHeight="1">
      <c r="A99" s="9" t="n"/>
      <c r="B99" s="10" t="n"/>
      <c r="C99" s="10" t="n"/>
      <c r="D99" s="10" t="n"/>
      <c r="E99" s="10" t="n"/>
      <c r="F99" s="10" t="n"/>
      <c r="G99" s="12">
        <f>IF($A99="","",B99)</f>
        <v/>
      </c>
      <c r="H99" s="12">
        <f>IF($A99="","",ROUND(IFERROR(C99/B99,0),0))</f>
        <v/>
      </c>
      <c r="I99" s="11">
        <f>IF($A99="","",IFERROR(D99/Financier!D99,0))</f>
        <v/>
      </c>
      <c r="J99" s="11">
        <f>IF($A99="","",IFERROR(Financier!M99/Financier!G99,0))</f>
        <v/>
      </c>
      <c r="K99" s="12">
        <f>IF($A99="","",F99)</f>
        <v/>
      </c>
      <c r="L99" s="12">
        <f>IF($A99="","",E99)</f>
        <v/>
      </c>
    </row>
    <row r="100" ht="22" customHeight="1">
      <c r="A100" s="9" t="n"/>
      <c r="B100" s="10" t="n"/>
      <c r="C100" s="10" t="n"/>
      <c r="D100" s="10" t="n"/>
      <c r="E100" s="10" t="n"/>
      <c r="F100" s="10" t="n"/>
      <c r="G100" s="12">
        <f>IF($A100="","",B100)</f>
        <v/>
      </c>
      <c r="H100" s="12">
        <f>IF($A100="","",ROUND(IFERROR(C100/B100,0),0))</f>
        <v/>
      </c>
      <c r="I100" s="11">
        <f>IF($A100="","",IFERROR(D100/Financier!D100,0))</f>
        <v/>
      </c>
      <c r="J100" s="11">
        <f>IF($A100="","",IFERROR(Financier!M100/Financier!G100,0))</f>
        <v/>
      </c>
      <c r="K100" s="12">
        <f>IF($A100="","",F100)</f>
        <v/>
      </c>
      <c r="L100" s="12">
        <f>IF($A100="","",E100)</f>
        <v/>
      </c>
    </row>
    <row r="101" ht="22" customHeight="1">
      <c r="A101" s="9" t="n"/>
      <c r="B101" s="10" t="n"/>
      <c r="C101" s="10" t="n"/>
      <c r="D101" s="10" t="n"/>
      <c r="E101" s="10" t="n"/>
      <c r="F101" s="10" t="n"/>
      <c r="G101" s="12">
        <f>IF($A101="","",B101)</f>
        <v/>
      </c>
      <c r="H101" s="12">
        <f>IF($A101="","",ROUND(IFERROR(C101/B101,0),0))</f>
        <v/>
      </c>
      <c r="I101" s="11">
        <f>IF($A101="","",IFERROR(D101/Financier!D101,0))</f>
        <v/>
      </c>
      <c r="J101" s="11">
        <f>IF($A101="","",IFERROR(Financier!M101/Financier!G101,0))</f>
        <v/>
      </c>
      <c r="K101" s="12">
        <f>IF($A101="","",F101)</f>
        <v/>
      </c>
      <c r="L101" s="12">
        <f>IF($A101="","",E101)</f>
        <v/>
      </c>
    </row>
    <row r="102" ht="22" customHeight="1">
      <c r="A102" s="9" t="n"/>
      <c r="B102" s="10" t="n"/>
      <c r="C102" s="10" t="n"/>
      <c r="D102" s="10" t="n"/>
      <c r="E102" s="10" t="n"/>
      <c r="F102" s="10" t="n"/>
      <c r="G102" s="12">
        <f>IF($A102="","",B102)</f>
        <v/>
      </c>
      <c r="H102" s="12">
        <f>IF($A102="","",ROUND(IFERROR(C102/B102,0),0))</f>
        <v/>
      </c>
      <c r="I102" s="11">
        <f>IF($A102="","",IFERROR(D102/Financier!D102,0))</f>
        <v/>
      </c>
      <c r="J102" s="11">
        <f>IF($A102="","",IFERROR(Financier!M102/Financier!G102,0))</f>
        <v/>
      </c>
      <c r="K102" s="12">
        <f>IF($A102="","",F102)</f>
        <v/>
      </c>
      <c r="L102" s="12">
        <f>IF($A102="","",E102)</f>
        <v/>
      </c>
    </row>
    <row r="103" ht="22" customHeight="1">
      <c r="A103" s="9" t="n"/>
      <c r="B103" s="10" t="n"/>
      <c r="C103" s="10" t="n"/>
      <c r="D103" s="10" t="n"/>
      <c r="E103" s="10" t="n"/>
      <c r="F103" s="10" t="n"/>
      <c r="G103" s="12">
        <f>IF($A103="","",B103)</f>
        <v/>
      </c>
      <c r="H103" s="12">
        <f>IF($A103="","",ROUND(IFERROR(C103/B103,0),0))</f>
        <v/>
      </c>
      <c r="I103" s="11">
        <f>IF($A103="","",IFERROR(D103/Financier!D103,0))</f>
        <v/>
      </c>
      <c r="J103" s="11">
        <f>IF($A103="","",IFERROR(Financier!M103/Financier!G103,0))</f>
        <v/>
      </c>
      <c r="K103" s="12">
        <f>IF($A103="","",F103)</f>
        <v/>
      </c>
      <c r="L103" s="12">
        <f>IF($A103="","",E103)</f>
        <v/>
      </c>
    </row>
    <row r="104" ht="22" customHeight="1">
      <c r="A104" s="9" t="n"/>
      <c r="B104" s="10" t="n"/>
      <c r="C104" s="10" t="n"/>
      <c r="D104" s="10" t="n"/>
      <c r="E104" s="10" t="n"/>
      <c r="F104" s="10" t="n"/>
      <c r="G104" s="12">
        <f>IF($A104="","",B104)</f>
        <v/>
      </c>
      <c r="H104" s="12">
        <f>IF($A104="","",ROUND(IFERROR(C104/B104,0),0))</f>
        <v/>
      </c>
      <c r="I104" s="11">
        <f>IF($A104="","",IFERROR(D104/Financier!D104,0))</f>
        <v/>
      </c>
      <c r="J104" s="11">
        <f>IF($A104="","",IFERROR(Financier!M104/Financier!G104,0))</f>
        <v/>
      </c>
      <c r="K104" s="12">
        <f>IF($A104="","",F104)</f>
        <v/>
      </c>
      <c r="L104" s="12">
        <f>IF($A104="","",E104)</f>
        <v/>
      </c>
    </row>
    <row r="105" ht="22" customHeight="1">
      <c r="A105" s="9" t="n"/>
      <c r="B105" s="10" t="n"/>
      <c r="C105" s="10" t="n"/>
      <c r="D105" s="10" t="n"/>
      <c r="E105" s="10" t="n"/>
      <c r="F105" s="10" t="n"/>
      <c r="G105" s="12">
        <f>IF($A105="","",B105)</f>
        <v/>
      </c>
      <c r="H105" s="12">
        <f>IF($A105="","",ROUND(IFERROR(C105/B105,0),0))</f>
        <v/>
      </c>
      <c r="I105" s="11">
        <f>IF($A105="","",IFERROR(D105/Financier!D105,0))</f>
        <v/>
      </c>
      <c r="J105" s="11">
        <f>IF($A105="","",IFERROR(Financier!M105/Financier!G105,0))</f>
        <v/>
      </c>
      <c r="K105" s="12">
        <f>IF($A105="","",F105)</f>
        <v/>
      </c>
      <c r="L105" s="12">
        <f>IF($A105="","",E105)</f>
        <v/>
      </c>
    </row>
    <row r="106" ht="22" customHeight="1">
      <c r="A106" s="9" t="n"/>
      <c r="B106" s="10" t="n"/>
      <c r="C106" s="10" t="n"/>
      <c r="D106" s="10" t="n"/>
      <c r="E106" s="10" t="n"/>
      <c r="F106" s="10" t="n"/>
      <c r="G106" s="12">
        <f>IF($A106="","",B106)</f>
        <v/>
      </c>
      <c r="H106" s="12">
        <f>IF($A106="","",ROUND(IFERROR(C106/B106,0),0))</f>
        <v/>
      </c>
      <c r="I106" s="11">
        <f>IF($A106="","",IFERROR(D106/Financier!D106,0))</f>
        <v/>
      </c>
      <c r="J106" s="11">
        <f>IF($A106="","",IFERROR(Financier!M106/Financier!G106,0))</f>
        <v/>
      </c>
      <c r="K106" s="12">
        <f>IF($A106="","",F106)</f>
        <v/>
      </c>
      <c r="L106" s="12">
        <f>IF($A106="","",E106)</f>
        <v/>
      </c>
    </row>
    <row r="107" ht="22" customHeight="1">
      <c r="A107" s="9" t="n"/>
      <c r="B107" s="10" t="n"/>
      <c r="C107" s="10" t="n"/>
      <c r="D107" s="10" t="n"/>
      <c r="E107" s="10" t="n"/>
      <c r="F107" s="10" t="n"/>
      <c r="G107" s="12">
        <f>IF($A107="","",B107)</f>
        <v/>
      </c>
      <c r="H107" s="12">
        <f>IF($A107="","",ROUND(IFERROR(C107/B107,0),0))</f>
        <v/>
      </c>
      <c r="I107" s="11">
        <f>IF($A107="","",IFERROR(D107/Financier!D107,0))</f>
        <v/>
      </c>
      <c r="J107" s="11">
        <f>IF($A107="","",IFERROR(Financier!M107/Financier!G107,0))</f>
        <v/>
      </c>
      <c r="K107" s="12">
        <f>IF($A107="","",F107)</f>
        <v/>
      </c>
      <c r="L107" s="12">
        <f>IF($A107="","",E107)</f>
        <v/>
      </c>
    </row>
    <row r="108" ht="22" customHeight="1">
      <c r="A108" s="9" t="n"/>
      <c r="B108" s="10" t="n"/>
      <c r="C108" s="10" t="n"/>
      <c r="D108" s="10" t="n"/>
      <c r="E108" s="10" t="n"/>
      <c r="F108" s="10" t="n"/>
      <c r="G108" s="12">
        <f>IF($A108="","",B108)</f>
        <v/>
      </c>
      <c r="H108" s="12">
        <f>IF($A108="","",ROUND(IFERROR(C108/B108,0),0))</f>
        <v/>
      </c>
      <c r="I108" s="11">
        <f>IF($A108="","",IFERROR(D108/Financier!D108,0))</f>
        <v/>
      </c>
      <c r="J108" s="11">
        <f>IF($A108="","",IFERROR(Financier!M108/Financier!G108,0))</f>
        <v/>
      </c>
      <c r="K108" s="12">
        <f>IF($A108="","",F108)</f>
        <v/>
      </c>
      <c r="L108" s="12">
        <f>IF($A108="","",E108)</f>
        <v/>
      </c>
    </row>
    <row r="109" ht="22" customHeight="1">
      <c r="A109" s="9" t="n"/>
      <c r="B109" s="10" t="n"/>
      <c r="C109" s="10" t="n"/>
      <c r="D109" s="10" t="n"/>
      <c r="E109" s="10" t="n"/>
      <c r="F109" s="10" t="n"/>
      <c r="G109" s="12">
        <f>IF($A109="","",B109)</f>
        <v/>
      </c>
      <c r="H109" s="12">
        <f>IF($A109="","",ROUND(IFERROR(C109/B109,0),0))</f>
        <v/>
      </c>
      <c r="I109" s="11">
        <f>IF($A109="","",IFERROR(D109/Financier!D109,0))</f>
        <v/>
      </c>
      <c r="J109" s="11">
        <f>IF($A109="","",IFERROR(Financier!M109/Financier!G109,0))</f>
        <v/>
      </c>
      <c r="K109" s="12">
        <f>IF($A109="","",F109)</f>
        <v/>
      </c>
      <c r="L109" s="12">
        <f>IF($A109="","",E109)</f>
        <v/>
      </c>
    </row>
    <row r="110" ht="22" customHeight="1">
      <c r="A110" s="9" t="n"/>
      <c r="B110" s="10" t="n"/>
      <c r="C110" s="10" t="n"/>
      <c r="D110" s="10" t="n"/>
      <c r="E110" s="10" t="n"/>
      <c r="F110" s="10" t="n"/>
      <c r="G110" s="12">
        <f>IF($A110="","",B110)</f>
        <v/>
      </c>
      <c r="H110" s="12">
        <f>IF($A110="","",ROUND(IFERROR(C110/B110,0),0))</f>
        <v/>
      </c>
      <c r="I110" s="11">
        <f>IF($A110="","",IFERROR(D110/Financier!D110,0))</f>
        <v/>
      </c>
      <c r="J110" s="11">
        <f>IF($A110="","",IFERROR(Financier!M110/Financier!G110,0))</f>
        <v/>
      </c>
      <c r="K110" s="12">
        <f>IF($A110="","",F110)</f>
        <v/>
      </c>
      <c r="L110" s="12">
        <f>IF($A110="","",E110)</f>
        <v/>
      </c>
    </row>
    <row r="111" ht="22" customHeight="1">
      <c r="A111" s="9" t="n"/>
      <c r="B111" s="10" t="n"/>
      <c r="C111" s="10" t="n"/>
      <c r="D111" s="10" t="n"/>
      <c r="E111" s="10" t="n"/>
      <c r="F111" s="10" t="n"/>
      <c r="G111" s="12">
        <f>IF($A111="","",B111)</f>
        <v/>
      </c>
      <c r="H111" s="12">
        <f>IF($A111="","",ROUND(IFERROR(C111/B111,0),0))</f>
        <v/>
      </c>
      <c r="I111" s="11">
        <f>IF($A111="","",IFERROR(D111/Financier!D111,0))</f>
        <v/>
      </c>
      <c r="J111" s="11">
        <f>IF($A111="","",IFERROR(Financier!M111/Financier!G111,0))</f>
        <v/>
      </c>
      <c r="K111" s="12">
        <f>IF($A111="","",F111)</f>
        <v/>
      </c>
      <c r="L111" s="12">
        <f>IF($A111="","",E111)</f>
        <v/>
      </c>
    </row>
    <row r="112" ht="22" customHeight="1">
      <c r="A112" s="9" t="n"/>
      <c r="B112" s="10" t="n"/>
      <c r="C112" s="10" t="n"/>
      <c r="D112" s="10" t="n"/>
      <c r="E112" s="10" t="n"/>
      <c r="F112" s="10" t="n"/>
      <c r="G112" s="12">
        <f>IF($A112="","",B112)</f>
        <v/>
      </c>
      <c r="H112" s="12">
        <f>IF($A112="","",ROUND(IFERROR(C112/B112,0),0))</f>
        <v/>
      </c>
      <c r="I112" s="11">
        <f>IF($A112="","",IFERROR(D112/Financier!D112,0))</f>
        <v/>
      </c>
      <c r="J112" s="11">
        <f>IF($A112="","",IFERROR(Financier!M112/Financier!G112,0))</f>
        <v/>
      </c>
      <c r="K112" s="12">
        <f>IF($A112="","",F112)</f>
        <v/>
      </c>
      <c r="L112" s="12">
        <f>IF($A112="","",E112)</f>
        <v/>
      </c>
    </row>
    <row r="113" ht="22" customHeight="1">
      <c r="A113" s="9" t="n"/>
      <c r="B113" s="10" t="n"/>
      <c r="C113" s="10" t="n"/>
      <c r="D113" s="10" t="n"/>
      <c r="E113" s="10" t="n"/>
      <c r="F113" s="10" t="n"/>
      <c r="G113" s="12">
        <f>IF($A113="","",B113)</f>
        <v/>
      </c>
      <c r="H113" s="12">
        <f>IF($A113="","",ROUND(IFERROR(C113/B113,0),0))</f>
        <v/>
      </c>
      <c r="I113" s="11">
        <f>IF($A113="","",IFERROR(D113/Financier!D113,0))</f>
        <v/>
      </c>
      <c r="J113" s="11">
        <f>IF($A113="","",IFERROR(Financier!M113/Financier!G113,0))</f>
        <v/>
      </c>
      <c r="K113" s="12">
        <f>IF($A113="","",F113)</f>
        <v/>
      </c>
      <c r="L113" s="12">
        <f>IF($A113="","",E113)</f>
        <v/>
      </c>
    </row>
    <row r="114" ht="22" customHeight="1">
      <c r="A114" s="9" t="n"/>
      <c r="B114" s="10" t="n"/>
      <c r="C114" s="10" t="n"/>
      <c r="D114" s="10" t="n"/>
      <c r="E114" s="10" t="n"/>
      <c r="F114" s="10" t="n"/>
      <c r="G114" s="12">
        <f>IF($A114="","",B114)</f>
        <v/>
      </c>
      <c r="H114" s="12">
        <f>IF($A114="","",ROUND(IFERROR(C114/B114,0),0))</f>
        <v/>
      </c>
      <c r="I114" s="11">
        <f>IF($A114="","",IFERROR(D114/Financier!D114,0))</f>
        <v/>
      </c>
      <c r="J114" s="11">
        <f>IF($A114="","",IFERROR(Financier!M114/Financier!G114,0))</f>
        <v/>
      </c>
      <c r="K114" s="12">
        <f>IF($A114="","",F114)</f>
        <v/>
      </c>
      <c r="L114" s="12">
        <f>IF($A114="","",E114)</f>
        <v/>
      </c>
    </row>
    <row r="115" ht="22" customHeight="1">
      <c r="A115" s="9" t="n"/>
      <c r="B115" s="10" t="n"/>
      <c r="C115" s="10" t="n"/>
      <c r="D115" s="10" t="n"/>
      <c r="E115" s="10" t="n"/>
      <c r="F115" s="10" t="n"/>
      <c r="G115" s="12">
        <f>IF($A115="","",B115)</f>
        <v/>
      </c>
      <c r="H115" s="12">
        <f>IF($A115="","",ROUND(IFERROR(C115/B115,0),0))</f>
        <v/>
      </c>
      <c r="I115" s="11">
        <f>IF($A115="","",IFERROR(D115/Financier!D115,0))</f>
        <v/>
      </c>
      <c r="J115" s="11">
        <f>IF($A115="","",IFERROR(Financier!M115/Financier!G115,0))</f>
        <v/>
      </c>
      <c r="K115" s="12">
        <f>IF($A115="","",F115)</f>
        <v/>
      </c>
      <c r="L115" s="12">
        <f>IF($A115="","",E115)</f>
        <v/>
      </c>
    </row>
    <row r="116" ht="22" customHeight="1">
      <c r="A116" s="9" t="n"/>
      <c r="B116" s="10" t="n"/>
      <c r="C116" s="10" t="n"/>
      <c r="D116" s="10" t="n"/>
      <c r="E116" s="10" t="n"/>
      <c r="F116" s="10" t="n"/>
      <c r="G116" s="12">
        <f>IF($A116="","",B116)</f>
        <v/>
      </c>
      <c r="H116" s="12">
        <f>IF($A116="","",ROUND(IFERROR(C116/B116,0),0))</f>
        <v/>
      </c>
      <c r="I116" s="11">
        <f>IF($A116="","",IFERROR(D116/Financier!D116,0))</f>
        <v/>
      </c>
      <c r="J116" s="11">
        <f>IF($A116="","",IFERROR(Financier!M116/Financier!G116,0))</f>
        <v/>
      </c>
      <c r="K116" s="12">
        <f>IF($A116="","",F116)</f>
        <v/>
      </c>
      <c r="L116" s="12">
        <f>IF($A116="","",E116)</f>
        <v/>
      </c>
    </row>
    <row r="117" ht="22" customHeight="1">
      <c r="A117" s="9" t="n"/>
      <c r="B117" s="10" t="n"/>
      <c r="C117" s="10" t="n"/>
      <c r="D117" s="10" t="n"/>
      <c r="E117" s="10" t="n"/>
      <c r="F117" s="10" t="n"/>
      <c r="G117" s="12">
        <f>IF($A117="","",B117)</f>
        <v/>
      </c>
      <c r="H117" s="12">
        <f>IF($A117="","",ROUND(IFERROR(C117/B117,0),0))</f>
        <v/>
      </c>
      <c r="I117" s="11">
        <f>IF($A117="","",IFERROR(D117/Financier!D117,0))</f>
        <v/>
      </c>
      <c r="J117" s="11">
        <f>IF($A117="","",IFERROR(Financier!M117/Financier!G117,0))</f>
        <v/>
      </c>
      <c r="K117" s="12">
        <f>IF($A117="","",F117)</f>
        <v/>
      </c>
      <c r="L117" s="12">
        <f>IF($A117="","",E117)</f>
        <v/>
      </c>
    </row>
    <row r="118" ht="22" customHeight="1">
      <c r="A118" s="9" t="n"/>
      <c r="B118" s="10" t="n"/>
      <c r="C118" s="10" t="n"/>
      <c r="D118" s="10" t="n"/>
      <c r="E118" s="10" t="n"/>
      <c r="F118" s="10" t="n"/>
      <c r="G118" s="12">
        <f>IF($A118="","",B118)</f>
        <v/>
      </c>
      <c r="H118" s="12">
        <f>IF($A118="","",ROUND(IFERROR(C118/B118,0),0))</f>
        <v/>
      </c>
      <c r="I118" s="11">
        <f>IF($A118="","",IFERROR(D118/Financier!D118,0))</f>
        <v/>
      </c>
      <c r="J118" s="11">
        <f>IF($A118="","",IFERROR(Financier!M118/Financier!G118,0))</f>
        <v/>
      </c>
      <c r="K118" s="12">
        <f>IF($A118="","",F118)</f>
        <v/>
      </c>
      <c r="L118" s="12">
        <f>IF($A118="","",E118)</f>
        <v/>
      </c>
    </row>
    <row r="119" ht="22" customHeight="1">
      <c r="A119" s="9" t="n"/>
      <c r="B119" s="10" t="n"/>
      <c r="C119" s="10" t="n"/>
      <c r="D119" s="10" t="n"/>
      <c r="E119" s="10" t="n"/>
      <c r="F119" s="10" t="n"/>
      <c r="G119" s="12">
        <f>IF($A119="","",B119)</f>
        <v/>
      </c>
      <c r="H119" s="12">
        <f>IF($A119="","",ROUND(IFERROR(C119/B119,0),0))</f>
        <v/>
      </c>
      <c r="I119" s="11">
        <f>IF($A119="","",IFERROR(D119/Financier!D119,0))</f>
        <v/>
      </c>
      <c r="J119" s="11">
        <f>IF($A119="","",IFERROR(Financier!M119/Financier!G119,0))</f>
        <v/>
      </c>
      <c r="K119" s="12">
        <f>IF($A119="","",F119)</f>
        <v/>
      </c>
      <c r="L119" s="12">
        <f>IF($A119="","",E119)</f>
        <v/>
      </c>
    </row>
    <row r="120" ht="22" customHeight="1">
      <c r="A120" s="9" t="n"/>
      <c r="B120" s="10" t="n"/>
      <c r="C120" s="10" t="n"/>
      <c r="D120" s="10" t="n"/>
      <c r="E120" s="10" t="n"/>
      <c r="F120" s="10" t="n"/>
      <c r="G120" s="12">
        <f>IF($A120="","",B120)</f>
        <v/>
      </c>
      <c r="H120" s="12">
        <f>IF($A120="","",ROUND(IFERROR(C120/B120,0),0))</f>
        <v/>
      </c>
      <c r="I120" s="11">
        <f>IF($A120="","",IFERROR(D120/Financier!D120,0))</f>
        <v/>
      </c>
      <c r="J120" s="11">
        <f>IF($A120="","",IFERROR(Financier!M120/Financier!G120,0))</f>
        <v/>
      </c>
      <c r="K120" s="12">
        <f>IF($A120="","",F120)</f>
        <v/>
      </c>
      <c r="L120" s="12">
        <f>IF($A120="","",E120)</f>
        <v/>
      </c>
    </row>
    <row r="121" ht="22" customHeight="1">
      <c r="A121" s="9" t="n"/>
      <c r="B121" s="10" t="n"/>
      <c r="C121" s="10" t="n"/>
      <c r="D121" s="10" t="n"/>
      <c r="E121" s="10" t="n"/>
      <c r="F121" s="10" t="n"/>
      <c r="G121" s="12">
        <f>IF($A121="","",B121)</f>
        <v/>
      </c>
      <c r="H121" s="12">
        <f>IF($A121="","",ROUND(IFERROR(C121/B121,0),0))</f>
        <v/>
      </c>
      <c r="I121" s="11">
        <f>IF($A121="","",IFERROR(D121/Financier!D121,0))</f>
        <v/>
      </c>
      <c r="J121" s="11">
        <f>IF($A121="","",IFERROR(Financier!M121/Financier!G121,0))</f>
        <v/>
      </c>
      <c r="K121" s="12">
        <f>IF($A121="","",F121)</f>
        <v/>
      </c>
      <c r="L121" s="12">
        <f>IF($A121="","",E121)</f>
        <v/>
      </c>
    </row>
    <row r="122" ht="22" customHeight="1">
      <c r="A122" s="9" t="n"/>
      <c r="B122" s="10" t="n"/>
      <c r="C122" s="10" t="n"/>
      <c r="D122" s="10" t="n"/>
      <c r="E122" s="10" t="n"/>
      <c r="F122" s="10" t="n"/>
      <c r="G122" s="12">
        <f>IF($A122="","",B122)</f>
        <v/>
      </c>
      <c r="H122" s="12">
        <f>IF($A122="","",ROUND(IFERROR(C122/B122,0),0))</f>
        <v/>
      </c>
      <c r="I122" s="11">
        <f>IF($A122="","",IFERROR(D122/Financier!D122,0))</f>
        <v/>
      </c>
      <c r="J122" s="11">
        <f>IF($A122="","",IFERROR(Financier!M122/Financier!G122,0))</f>
        <v/>
      </c>
      <c r="K122" s="12">
        <f>IF($A122="","",F122)</f>
        <v/>
      </c>
      <c r="L122" s="12">
        <f>IF($A122="","",E122)</f>
        <v/>
      </c>
    </row>
    <row r="123" ht="22" customHeight="1">
      <c r="A123" s="9" t="n"/>
      <c r="B123" s="10" t="n"/>
      <c r="C123" s="10" t="n"/>
      <c r="D123" s="10" t="n"/>
      <c r="E123" s="10" t="n"/>
      <c r="F123" s="10" t="n"/>
      <c r="G123" s="12">
        <f>IF($A123="","",B123)</f>
        <v/>
      </c>
      <c r="H123" s="12">
        <f>IF($A123="","",ROUND(IFERROR(C123/B123,0),0))</f>
        <v/>
      </c>
      <c r="I123" s="11">
        <f>IF($A123="","",IFERROR(D123/Financier!D123,0))</f>
        <v/>
      </c>
      <c r="J123" s="11">
        <f>IF($A123="","",IFERROR(Financier!M123/Financier!G123,0))</f>
        <v/>
      </c>
      <c r="K123" s="12">
        <f>IF($A123="","",F123)</f>
        <v/>
      </c>
      <c r="L123" s="12">
        <f>IF($A123="","",E123)</f>
        <v/>
      </c>
    </row>
    <row r="124" ht="22" customHeight="1">
      <c r="A124" s="9" t="n"/>
      <c r="B124" s="10" t="n"/>
      <c r="C124" s="10" t="n"/>
      <c r="D124" s="10" t="n"/>
      <c r="E124" s="10" t="n"/>
      <c r="F124" s="10" t="n"/>
      <c r="G124" s="12">
        <f>IF($A124="","",B124)</f>
        <v/>
      </c>
      <c r="H124" s="12">
        <f>IF($A124="","",ROUND(IFERROR(C124/B124,0),0))</f>
        <v/>
      </c>
      <c r="I124" s="11">
        <f>IF($A124="","",IFERROR(D124/Financier!D124,0))</f>
        <v/>
      </c>
      <c r="J124" s="11">
        <f>IF($A124="","",IFERROR(Financier!M124/Financier!G124,0))</f>
        <v/>
      </c>
      <c r="K124" s="12">
        <f>IF($A124="","",F124)</f>
        <v/>
      </c>
      <c r="L124" s="12">
        <f>IF($A124="","",E124)</f>
        <v/>
      </c>
    </row>
    <row r="125" ht="22" customHeight="1">
      <c r="A125" s="9" t="n"/>
      <c r="B125" s="10" t="n"/>
      <c r="C125" s="10" t="n"/>
      <c r="D125" s="10" t="n"/>
      <c r="E125" s="10" t="n"/>
      <c r="F125" s="10" t="n"/>
      <c r="G125" s="12">
        <f>IF($A125="","",B125)</f>
        <v/>
      </c>
      <c r="H125" s="12">
        <f>IF($A125="","",ROUND(IFERROR(C125/B125,0),0))</f>
        <v/>
      </c>
      <c r="I125" s="11">
        <f>IF($A125="","",IFERROR(D125/Financier!D125,0))</f>
        <v/>
      </c>
      <c r="J125" s="11">
        <f>IF($A125="","",IFERROR(Financier!M125/Financier!G125,0))</f>
        <v/>
      </c>
      <c r="K125" s="12">
        <f>IF($A125="","",F125)</f>
        <v/>
      </c>
      <c r="L125" s="12">
        <f>IF($A125="","",E125)</f>
        <v/>
      </c>
    </row>
    <row r="126" ht="22" customHeight="1">
      <c r="A126" s="9" t="n"/>
      <c r="B126" s="10" t="n"/>
      <c r="C126" s="10" t="n"/>
      <c r="D126" s="10" t="n"/>
      <c r="E126" s="10" t="n"/>
      <c r="F126" s="10" t="n"/>
      <c r="G126" s="12">
        <f>IF($A126="","",B126)</f>
        <v/>
      </c>
      <c r="H126" s="12">
        <f>IF($A126="","",ROUND(IFERROR(C126/B126,0),0))</f>
        <v/>
      </c>
      <c r="I126" s="11">
        <f>IF($A126="","",IFERROR(D126/Financier!D126,0))</f>
        <v/>
      </c>
      <c r="J126" s="11">
        <f>IF($A126="","",IFERROR(Financier!M126/Financier!G126,0))</f>
        <v/>
      </c>
      <c r="K126" s="12">
        <f>IF($A126="","",F126)</f>
        <v/>
      </c>
      <c r="L126" s="12">
        <f>IF($A126="","",E126)</f>
        <v/>
      </c>
    </row>
    <row r="127" ht="22" customHeight="1">
      <c r="A127" s="9" t="n"/>
      <c r="B127" s="10" t="n"/>
      <c r="C127" s="10" t="n"/>
      <c r="D127" s="10" t="n"/>
      <c r="E127" s="10" t="n"/>
      <c r="F127" s="10" t="n"/>
      <c r="G127" s="12">
        <f>IF($A127="","",B127)</f>
        <v/>
      </c>
      <c r="H127" s="12">
        <f>IF($A127="","",ROUND(IFERROR(C127/B127,0),0))</f>
        <v/>
      </c>
      <c r="I127" s="11">
        <f>IF($A127="","",IFERROR(D127/Financier!D127,0))</f>
        <v/>
      </c>
      <c r="J127" s="11">
        <f>IF($A127="","",IFERROR(Financier!M127/Financier!G127,0))</f>
        <v/>
      </c>
      <c r="K127" s="12">
        <f>IF($A127="","",F127)</f>
        <v/>
      </c>
      <c r="L127" s="12">
        <f>IF($A127="","",E127)</f>
        <v/>
      </c>
    </row>
    <row r="128" ht="22" customHeight="1">
      <c r="A128" s="9" t="n"/>
      <c r="B128" s="10" t="n"/>
      <c r="C128" s="10" t="n"/>
      <c r="D128" s="10" t="n"/>
      <c r="E128" s="10" t="n"/>
      <c r="F128" s="10" t="n"/>
      <c r="G128" s="12">
        <f>IF($A128="","",B128)</f>
        <v/>
      </c>
      <c r="H128" s="12">
        <f>IF($A128="","",ROUND(IFERROR(C128/B128,0),0))</f>
        <v/>
      </c>
      <c r="I128" s="11">
        <f>IF($A128="","",IFERROR(D128/Financier!D128,0))</f>
        <v/>
      </c>
      <c r="J128" s="11">
        <f>IF($A128="","",IFERROR(Financier!M128/Financier!G128,0))</f>
        <v/>
      </c>
      <c r="K128" s="12">
        <f>IF($A128="","",F128)</f>
        <v/>
      </c>
      <c r="L128" s="12">
        <f>IF($A128="","",E128)</f>
        <v/>
      </c>
    </row>
    <row r="129" ht="22" customHeight="1">
      <c r="A129" s="9" t="n"/>
      <c r="B129" s="10" t="n"/>
      <c r="C129" s="10" t="n"/>
      <c r="D129" s="10" t="n"/>
      <c r="E129" s="10" t="n"/>
      <c r="F129" s="10" t="n"/>
      <c r="G129" s="12">
        <f>IF($A129="","",B129)</f>
        <v/>
      </c>
      <c r="H129" s="12">
        <f>IF($A129="","",ROUND(IFERROR(C129/B129,0),0))</f>
        <v/>
      </c>
      <c r="I129" s="11">
        <f>IF($A129="","",IFERROR(D129/Financier!D129,0))</f>
        <v/>
      </c>
      <c r="J129" s="11">
        <f>IF($A129="","",IFERROR(Financier!M129/Financier!G129,0))</f>
        <v/>
      </c>
      <c r="K129" s="12">
        <f>IF($A129="","",F129)</f>
        <v/>
      </c>
      <c r="L129" s="12">
        <f>IF($A129="","",E129)</f>
        <v/>
      </c>
    </row>
    <row r="130" ht="22" customHeight="1">
      <c r="A130" s="9" t="n"/>
      <c r="B130" s="10" t="n"/>
      <c r="C130" s="10" t="n"/>
      <c r="D130" s="10" t="n"/>
      <c r="E130" s="10" t="n"/>
      <c r="F130" s="10" t="n"/>
      <c r="G130" s="12">
        <f>IF($A130="","",B130)</f>
        <v/>
      </c>
      <c r="H130" s="12">
        <f>IF($A130="","",ROUND(IFERROR(C130/B130,0),0))</f>
        <v/>
      </c>
      <c r="I130" s="11">
        <f>IF($A130="","",IFERROR(D130/Financier!D130,0))</f>
        <v/>
      </c>
      <c r="J130" s="11">
        <f>IF($A130="","",IFERROR(Financier!M130/Financier!G130,0))</f>
        <v/>
      </c>
      <c r="K130" s="12">
        <f>IF($A130="","",F130)</f>
        <v/>
      </c>
      <c r="L130" s="12">
        <f>IF($A130="","",E130)</f>
        <v/>
      </c>
    </row>
    <row r="131" ht="22" customHeight="1">
      <c r="A131" s="9" t="n"/>
      <c r="B131" s="10" t="n"/>
      <c r="C131" s="10" t="n"/>
      <c r="D131" s="10" t="n"/>
      <c r="E131" s="10" t="n"/>
      <c r="F131" s="10" t="n"/>
      <c r="G131" s="12">
        <f>IF($A131="","",B131)</f>
        <v/>
      </c>
      <c r="H131" s="12">
        <f>IF($A131="","",ROUND(IFERROR(C131/B131,0),0))</f>
        <v/>
      </c>
      <c r="I131" s="11">
        <f>IF($A131="","",IFERROR(D131/Financier!D131,0))</f>
        <v/>
      </c>
      <c r="J131" s="11">
        <f>IF($A131="","",IFERROR(Financier!M131/Financier!G131,0))</f>
        <v/>
      </c>
      <c r="K131" s="12">
        <f>IF($A131="","",F131)</f>
        <v/>
      </c>
      <c r="L131" s="12">
        <f>IF($A131="","",E131)</f>
        <v/>
      </c>
    </row>
    <row r="132" ht="22" customHeight="1">
      <c r="A132" s="9" t="n"/>
      <c r="B132" s="10" t="n"/>
      <c r="C132" s="10" t="n"/>
      <c r="D132" s="10" t="n"/>
      <c r="E132" s="10" t="n"/>
      <c r="F132" s="10" t="n"/>
      <c r="G132" s="12">
        <f>IF($A132="","",B132)</f>
        <v/>
      </c>
      <c r="H132" s="12">
        <f>IF($A132="","",ROUND(IFERROR(C132/B132,0),0))</f>
        <v/>
      </c>
      <c r="I132" s="11">
        <f>IF($A132="","",IFERROR(D132/Financier!D132,0))</f>
        <v/>
      </c>
      <c r="J132" s="11">
        <f>IF($A132="","",IFERROR(Financier!M132/Financier!G132,0))</f>
        <v/>
      </c>
      <c r="K132" s="12">
        <f>IF($A132="","",F132)</f>
        <v/>
      </c>
      <c r="L132" s="12">
        <f>IF($A132="","",E132)</f>
        <v/>
      </c>
    </row>
    <row r="133" ht="22" customHeight="1">
      <c r="A133" s="9" t="n"/>
      <c r="B133" s="10" t="n"/>
      <c r="C133" s="10" t="n"/>
      <c r="D133" s="10" t="n"/>
      <c r="E133" s="10" t="n"/>
      <c r="F133" s="10" t="n"/>
      <c r="G133" s="12">
        <f>IF($A133="","",B133)</f>
        <v/>
      </c>
      <c r="H133" s="12">
        <f>IF($A133="","",ROUND(IFERROR(C133/B133,0),0))</f>
        <v/>
      </c>
      <c r="I133" s="11">
        <f>IF($A133="","",IFERROR(D133/Financier!D133,0))</f>
        <v/>
      </c>
      <c r="J133" s="11">
        <f>IF($A133="","",IFERROR(Financier!M133/Financier!G133,0))</f>
        <v/>
      </c>
      <c r="K133" s="12">
        <f>IF($A133="","",F133)</f>
        <v/>
      </c>
      <c r="L133" s="12">
        <f>IF($A133="","",E133)</f>
        <v/>
      </c>
    </row>
    <row r="134" ht="22" customHeight="1">
      <c r="A134" s="9" t="n"/>
      <c r="B134" s="10" t="n"/>
      <c r="C134" s="10" t="n"/>
      <c r="D134" s="10" t="n"/>
      <c r="E134" s="10" t="n"/>
      <c r="F134" s="10" t="n"/>
      <c r="G134" s="12">
        <f>IF($A134="","",B134)</f>
        <v/>
      </c>
      <c r="H134" s="12">
        <f>IF($A134="","",ROUND(IFERROR(C134/B134,0),0))</f>
        <v/>
      </c>
      <c r="I134" s="11">
        <f>IF($A134="","",IFERROR(D134/Financier!D134,0))</f>
        <v/>
      </c>
      <c r="J134" s="11">
        <f>IF($A134="","",IFERROR(Financier!M134/Financier!G134,0))</f>
        <v/>
      </c>
      <c r="K134" s="12">
        <f>IF($A134="","",F134)</f>
        <v/>
      </c>
      <c r="L134" s="12">
        <f>IF($A134="","",E134)</f>
        <v/>
      </c>
    </row>
    <row r="135" ht="22" customHeight="1">
      <c r="A135" s="9" t="n"/>
      <c r="B135" s="10" t="n"/>
      <c r="C135" s="10" t="n"/>
      <c r="D135" s="10" t="n"/>
      <c r="E135" s="10" t="n"/>
      <c r="F135" s="10" t="n"/>
      <c r="G135" s="12">
        <f>IF($A135="","",B135)</f>
        <v/>
      </c>
      <c r="H135" s="12">
        <f>IF($A135="","",ROUND(IFERROR(C135/B135,0),0))</f>
        <v/>
      </c>
      <c r="I135" s="11">
        <f>IF($A135="","",IFERROR(D135/Financier!D135,0))</f>
        <v/>
      </c>
      <c r="J135" s="11">
        <f>IF($A135="","",IFERROR(Financier!M135/Financier!G135,0))</f>
        <v/>
      </c>
      <c r="K135" s="12">
        <f>IF($A135="","",F135)</f>
        <v/>
      </c>
      <c r="L135" s="12">
        <f>IF($A135="","",E135)</f>
        <v/>
      </c>
    </row>
    <row r="136" ht="22" customHeight="1">
      <c r="A136" s="9" t="n"/>
      <c r="B136" s="10" t="n"/>
      <c r="C136" s="10" t="n"/>
      <c r="D136" s="10" t="n"/>
      <c r="E136" s="10" t="n"/>
      <c r="F136" s="10" t="n"/>
      <c r="G136" s="12">
        <f>IF($A136="","",B136)</f>
        <v/>
      </c>
      <c r="H136" s="12">
        <f>IF($A136="","",ROUND(IFERROR(C136/B136,0),0))</f>
        <v/>
      </c>
      <c r="I136" s="11">
        <f>IF($A136="","",IFERROR(D136/Financier!D136,0))</f>
        <v/>
      </c>
      <c r="J136" s="11">
        <f>IF($A136="","",IFERROR(Financier!M136/Financier!G136,0))</f>
        <v/>
      </c>
      <c r="K136" s="12">
        <f>IF($A136="","",F136)</f>
        <v/>
      </c>
      <c r="L136" s="12">
        <f>IF($A136="","",E136)</f>
        <v/>
      </c>
    </row>
    <row r="137" ht="22" customHeight="1">
      <c r="A137" s="9" t="n"/>
      <c r="B137" s="10" t="n"/>
      <c r="C137" s="10" t="n"/>
      <c r="D137" s="10" t="n"/>
      <c r="E137" s="10" t="n"/>
      <c r="F137" s="10" t="n"/>
      <c r="G137" s="12">
        <f>IF($A137="","",B137)</f>
        <v/>
      </c>
      <c r="H137" s="12">
        <f>IF($A137="","",ROUND(IFERROR(C137/B137,0),0))</f>
        <v/>
      </c>
      <c r="I137" s="11">
        <f>IF($A137="","",IFERROR(D137/Financier!D137,0))</f>
        <v/>
      </c>
      <c r="J137" s="11">
        <f>IF($A137="","",IFERROR(Financier!M137/Financier!G137,0))</f>
        <v/>
      </c>
      <c r="K137" s="12">
        <f>IF($A137="","",F137)</f>
        <v/>
      </c>
      <c r="L137" s="12">
        <f>IF($A137="","",E137)</f>
        <v/>
      </c>
    </row>
    <row r="138" ht="22" customHeight="1">
      <c r="A138" s="9" t="n"/>
      <c r="B138" s="10" t="n"/>
      <c r="C138" s="10" t="n"/>
      <c r="D138" s="10" t="n"/>
      <c r="E138" s="10" t="n"/>
      <c r="F138" s="10" t="n"/>
      <c r="G138" s="12">
        <f>IF($A138="","",B138)</f>
        <v/>
      </c>
      <c r="H138" s="12">
        <f>IF($A138="","",ROUND(IFERROR(C138/B138,0),0))</f>
        <v/>
      </c>
      <c r="I138" s="11">
        <f>IF($A138="","",IFERROR(D138/Financier!D138,0))</f>
        <v/>
      </c>
      <c r="J138" s="11">
        <f>IF($A138="","",IFERROR(Financier!M138/Financier!G138,0))</f>
        <v/>
      </c>
      <c r="K138" s="12">
        <f>IF($A138="","",F138)</f>
        <v/>
      </c>
      <c r="L138" s="12">
        <f>IF($A138="","",E138)</f>
        <v/>
      </c>
    </row>
    <row r="139" ht="22" customHeight="1">
      <c r="A139" s="9" t="n"/>
      <c r="B139" s="10" t="n"/>
      <c r="C139" s="10" t="n"/>
      <c r="D139" s="10" t="n"/>
      <c r="E139" s="10" t="n"/>
      <c r="F139" s="10" t="n"/>
      <c r="G139" s="12">
        <f>IF($A139="","",B139)</f>
        <v/>
      </c>
      <c r="H139" s="12">
        <f>IF($A139="","",ROUND(IFERROR(C139/B139,0),0))</f>
        <v/>
      </c>
      <c r="I139" s="11">
        <f>IF($A139="","",IFERROR(D139/Financier!D139,0))</f>
        <v/>
      </c>
      <c r="J139" s="11">
        <f>IF($A139="","",IFERROR(Financier!M139/Financier!G139,0))</f>
        <v/>
      </c>
      <c r="K139" s="12">
        <f>IF($A139="","",F139)</f>
        <v/>
      </c>
      <c r="L139" s="12">
        <f>IF($A139="","",E139)</f>
        <v/>
      </c>
    </row>
    <row r="140" ht="22" customHeight="1">
      <c r="A140" s="9" t="n"/>
      <c r="B140" s="10" t="n"/>
      <c r="C140" s="10" t="n"/>
      <c r="D140" s="10" t="n"/>
      <c r="E140" s="10" t="n"/>
      <c r="F140" s="10" t="n"/>
      <c r="G140" s="12">
        <f>IF($A140="","",B140)</f>
        <v/>
      </c>
      <c r="H140" s="12">
        <f>IF($A140="","",ROUND(IFERROR(C140/B140,0),0))</f>
        <v/>
      </c>
      <c r="I140" s="11">
        <f>IF($A140="","",IFERROR(D140/Financier!D140,0))</f>
        <v/>
      </c>
      <c r="J140" s="11">
        <f>IF($A140="","",IFERROR(Financier!M140/Financier!G140,0))</f>
        <v/>
      </c>
      <c r="K140" s="12">
        <f>IF($A140="","",F140)</f>
        <v/>
      </c>
      <c r="L140" s="12">
        <f>IF($A140="","",E140)</f>
        <v/>
      </c>
    </row>
    <row r="141" ht="22" customHeight="1">
      <c r="A141" s="9" t="n"/>
      <c r="B141" s="10" t="n"/>
      <c r="C141" s="10" t="n"/>
      <c r="D141" s="10" t="n"/>
      <c r="E141" s="10" t="n"/>
      <c r="F141" s="10" t="n"/>
      <c r="G141" s="12">
        <f>IF($A141="","",B141)</f>
        <v/>
      </c>
      <c r="H141" s="12">
        <f>IF($A141="","",ROUND(IFERROR(C141/B141,0),0))</f>
        <v/>
      </c>
      <c r="I141" s="11">
        <f>IF($A141="","",IFERROR(D141/Financier!D141,0))</f>
        <v/>
      </c>
      <c r="J141" s="11">
        <f>IF($A141="","",IFERROR(Financier!M141/Financier!G141,0))</f>
        <v/>
      </c>
      <c r="K141" s="12">
        <f>IF($A141="","",F141)</f>
        <v/>
      </c>
      <c r="L141" s="12">
        <f>IF($A141="","",E141)</f>
        <v/>
      </c>
    </row>
    <row r="142" ht="22" customHeight="1">
      <c r="A142" s="9" t="n"/>
      <c r="B142" s="10" t="n"/>
      <c r="C142" s="10" t="n"/>
      <c r="D142" s="10" t="n"/>
      <c r="E142" s="10" t="n"/>
      <c r="F142" s="10" t="n"/>
      <c r="G142" s="12">
        <f>IF($A142="","",B142)</f>
        <v/>
      </c>
      <c r="H142" s="12">
        <f>IF($A142="","",ROUND(IFERROR(C142/B142,0),0))</f>
        <v/>
      </c>
      <c r="I142" s="11">
        <f>IF($A142="","",IFERROR(D142/Financier!D142,0))</f>
        <v/>
      </c>
      <c r="J142" s="11">
        <f>IF($A142="","",IFERROR(Financier!M142/Financier!G142,0))</f>
        <v/>
      </c>
      <c r="K142" s="12">
        <f>IF($A142="","",F142)</f>
        <v/>
      </c>
      <c r="L142" s="12">
        <f>IF($A142="","",E142)</f>
        <v/>
      </c>
    </row>
    <row r="143" ht="22" customHeight="1">
      <c r="A143" s="9" t="n"/>
      <c r="B143" s="10" t="n"/>
      <c r="C143" s="10" t="n"/>
      <c r="D143" s="10" t="n"/>
      <c r="E143" s="10" t="n"/>
      <c r="F143" s="10" t="n"/>
      <c r="G143" s="12">
        <f>IF($A143="","",B143)</f>
        <v/>
      </c>
      <c r="H143" s="12">
        <f>IF($A143="","",ROUND(IFERROR(C143/B143,0),0))</f>
        <v/>
      </c>
      <c r="I143" s="11">
        <f>IF($A143="","",IFERROR(D143/Financier!D143,0))</f>
        <v/>
      </c>
      <c r="J143" s="11">
        <f>IF($A143="","",IFERROR(Financier!M143/Financier!G143,0))</f>
        <v/>
      </c>
      <c r="K143" s="12">
        <f>IF($A143="","",F143)</f>
        <v/>
      </c>
      <c r="L143" s="12">
        <f>IF($A143="","",E143)</f>
        <v/>
      </c>
    </row>
    <row r="144" ht="22" customHeight="1">
      <c r="A144" s="9" t="n"/>
      <c r="B144" s="10" t="n"/>
      <c r="C144" s="10" t="n"/>
      <c r="D144" s="10" t="n"/>
      <c r="E144" s="10" t="n"/>
      <c r="F144" s="10" t="n"/>
      <c r="G144" s="12">
        <f>IF($A144="","",B144)</f>
        <v/>
      </c>
      <c r="H144" s="12">
        <f>IF($A144="","",ROUND(IFERROR(C144/B144,0),0))</f>
        <v/>
      </c>
      <c r="I144" s="11">
        <f>IF($A144="","",IFERROR(D144/Financier!D144,0))</f>
        <v/>
      </c>
      <c r="J144" s="11">
        <f>IF($A144="","",IFERROR(Financier!M144/Financier!G144,0))</f>
        <v/>
      </c>
      <c r="K144" s="12">
        <f>IF($A144="","",F144)</f>
        <v/>
      </c>
      <c r="L144" s="12">
        <f>IF($A144="","",E144)</f>
        <v/>
      </c>
    </row>
    <row r="145" ht="22" customHeight="1">
      <c r="A145" s="9" t="n"/>
      <c r="B145" s="10" t="n"/>
      <c r="C145" s="10" t="n"/>
      <c r="D145" s="10" t="n"/>
      <c r="E145" s="10" t="n"/>
      <c r="F145" s="10" t="n"/>
      <c r="G145" s="12">
        <f>IF($A145="","",B145)</f>
        <v/>
      </c>
      <c r="H145" s="12">
        <f>IF($A145="","",ROUND(IFERROR(C145/B145,0),0))</f>
        <v/>
      </c>
      <c r="I145" s="11">
        <f>IF($A145="","",IFERROR(D145/Financier!D145,0))</f>
        <v/>
      </c>
      <c r="J145" s="11">
        <f>IF($A145="","",IFERROR(Financier!M145/Financier!G145,0))</f>
        <v/>
      </c>
      <c r="K145" s="12">
        <f>IF($A145="","",F145)</f>
        <v/>
      </c>
      <c r="L145" s="12">
        <f>IF($A145="","",E145)</f>
        <v/>
      </c>
    </row>
    <row r="146" ht="22" customHeight="1">
      <c r="A146" s="9" t="n"/>
      <c r="B146" s="10" t="n"/>
      <c r="C146" s="10" t="n"/>
      <c r="D146" s="10" t="n"/>
      <c r="E146" s="10" t="n"/>
      <c r="F146" s="10" t="n"/>
      <c r="G146" s="12">
        <f>IF($A146="","",B146)</f>
        <v/>
      </c>
      <c r="H146" s="12">
        <f>IF($A146="","",ROUND(IFERROR(C146/B146,0),0))</f>
        <v/>
      </c>
      <c r="I146" s="11">
        <f>IF($A146="","",IFERROR(D146/Financier!D146,0))</f>
        <v/>
      </c>
      <c r="J146" s="11">
        <f>IF($A146="","",IFERROR(Financier!M146/Financier!G146,0))</f>
        <v/>
      </c>
      <c r="K146" s="12">
        <f>IF($A146="","",F146)</f>
        <v/>
      </c>
      <c r="L146" s="12">
        <f>IF($A146="","",E146)</f>
        <v/>
      </c>
    </row>
    <row r="147" ht="22" customHeight="1">
      <c r="A147" s="9" t="n"/>
      <c r="B147" s="10" t="n"/>
      <c r="C147" s="10" t="n"/>
      <c r="D147" s="10" t="n"/>
      <c r="E147" s="10" t="n"/>
      <c r="F147" s="10" t="n"/>
      <c r="G147" s="12">
        <f>IF($A147="","",B147)</f>
        <v/>
      </c>
      <c r="H147" s="12">
        <f>IF($A147="","",ROUND(IFERROR(C147/B147,0),0))</f>
        <v/>
      </c>
      <c r="I147" s="11">
        <f>IF($A147="","",IFERROR(D147/Financier!D147,0))</f>
        <v/>
      </c>
      <c r="J147" s="11">
        <f>IF($A147="","",IFERROR(Financier!M147/Financier!G147,0))</f>
        <v/>
      </c>
      <c r="K147" s="12">
        <f>IF($A147="","",F147)</f>
        <v/>
      </c>
      <c r="L147" s="12">
        <f>IF($A147="","",E147)</f>
        <v/>
      </c>
    </row>
    <row r="148" ht="22" customHeight="1">
      <c r="A148" s="9" t="n"/>
      <c r="B148" s="10" t="n"/>
      <c r="C148" s="10" t="n"/>
      <c r="D148" s="10" t="n"/>
      <c r="E148" s="10" t="n"/>
      <c r="F148" s="10" t="n"/>
      <c r="G148" s="12">
        <f>IF($A148="","",B148)</f>
        <v/>
      </c>
      <c r="H148" s="12">
        <f>IF($A148="","",ROUND(IFERROR(C148/B148,0),0))</f>
        <v/>
      </c>
      <c r="I148" s="11">
        <f>IF($A148="","",IFERROR(D148/Financier!D148,0))</f>
        <v/>
      </c>
      <c r="J148" s="11">
        <f>IF($A148="","",IFERROR(Financier!M148/Financier!G148,0))</f>
        <v/>
      </c>
      <c r="K148" s="12">
        <f>IF($A148="","",F148)</f>
        <v/>
      </c>
      <c r="L148" s="12">
        <f>IF($A148="","",E148)</f>
        <v/>
      </c>
    </row>
    <row r="149" ht="22" customHeight="1">
      <c r="A149" s="9" t="n"/>
      <c r="B149" s="10" t="n"/>
      <c r="C149" s="10" t="n"/>
      <c r="D149" s="10" t="n"/>
      <c r="E149" s="10" t="n"/>
      <c r="F149" s="10" t="n"/>
      <c r="G149" s="12">
        <f>IF($A149="","",B149)</f>
        <v/>
      </c>
      <c r="H149" s="12">
        <f>IF($A149="","",ROUND(IFERROR(C149/B149,0),0))</f>
        <v/>
      </c>
      <c r="I149" s="11">
        <f>IF($A149="","",IFERROR(D149/Financier!D149,0))</f>
        <v/>
      </c>
      <c r="J149" s="11">
        <f>IF($A149="","",IFERROR(Financier!M149/Financier!G149,0))</f>
        <v/>
      </c>
      <c r="K149" s="12">
        <f>IF($A149="","",F149)</f>
        <v/>
      </c>
      <c r="L149" s="12">
        <f>IF($A149="","",E149)</f>
        <v/>
      </c>
    </row>
    <row r="150" ht="22" customHeight="1">
      <c r="A150" s="9" t="n"/>
      <c r="B150" s="10" t="n"/>
      <c r="C150" s="10" t="n"/>
      <c r="D150" s="10" t="n"/>
      <c r="E150" s="10" t="n"/>
      <c r="F150" s="10" t="n"/>
      <c r="G150" s="12">
        <f>IF($A150="","",B150)</f>
        <v/>
      </c>
      <c r="H150" s="12">
        <f>IF($A150="","",ROUND(IFERROR(C150/B150,0),0))</f>
        <v/>
      </c>
      <c r="I150" s="11">
        <f>IF($A150="","",IFERROR(D150/Financier!D150,0))</f>
        <v/>
      </c>
      <c r="J150" s="11">
        <f>IF($A150="","",IFERROR(Financier!M150/Financier!G150,0))</f>
        <v/>
      </c>
      <c r="K150" s="12">
        <f>IF($A150="","",F150)</f>
        <v/>
      </c>
      <c r="L150" s="12">
        <f>IF($A150="","",E150)</f>
        <v/>
      </c>
    </row>
    <row r="151" ht="22" customHeight="1">
      <c r="A151" s="9" t="n"/>
      <c r="B151" s="10" t="n"/>
      <c r="C151" s="10" t="n"/>
      <c r="D151" s="10" t="n"/>
      <c r="E151" s="10" t="n"/>
      <c r="F151" s="10" t="n"/>
      <c r="G151" s="12">
        <f>IF($A151="","",B151)</f>
        <v/>
      </c>
      <c r="H151" s="12">
        <f>IF($A151="","",ROUND(IFERROR(C151/B151,0),0))</f>
        <v/>
      </c>
      <c r="I151" s="11">
        <f>IF($A151="","",IFERROR(D151/Financier!D151,0))</f>
        <v/>
      </c>
      <c r="J151" s="11">
        <f>IF($A151="","",IFERROR(Financier!M151/Financier!G151,0))</f>
        <v/>
      </c>
      <c r="K151" s="12">
        <f>IF($A151="","",F151)</f>
        <v/>
      </c>
      <c r="L151" s="12">
        <f>IF($A151="","",E151)</f>
        <v/>
      </c>
    </row>
    <row r="152" ht="22" customHeight="1">
      <c r="A152" s="9" t="n"/>
      <c r="B152" s="10" t="n"/>
      <c r="C152" s="10" t="n"/>
      <c r="D152" s="10" t="n"/>
      <c r="E152" s="10" t="n"/>
      <c r="F152" s="10" t="n"/>
      <c r="G152" s="12">
        <f>IF($A152="","",B152)</f>
        <v/>
      </c>
      <c r="H152" s="12">
        <f>IF($A152="","",ROUND(IFERROR(C152/B152,0),0))</f>
        <v/>
      </c>
      <c r="I152" s="11">
        <f>IF($A152="","",IFERROR(D152/Financier!D152,0))</f>
        <v/>
      </c>
      <c r="J152" s="11">
        <f>IF($A152="","",IFERROR(Financier!M152/Financier!G152,0))</f>
        <v/>
      </c>
      <c r="K152" s="12">
        <f>IF($A152="","",F152)</f>
        <v/>
      </c>
      <c r="L152" s="12">
        <f>IF($A152="","",E152)</f>
        <v/>
      </c>
    </row>
    <row r="153" ht="22" customHeight="1">
      <c r="A153" s="9" t="n"/>
      <c r="B153" s="10" t="n"/>
      <c r="C153" s="10" t="n"/>
      <c r="D153" s="10" t="n"/>
      <c r="E153" s="10" t="n"/>
      <c r="F153" s="10" t="n"/>
      <c r="G153" s="12">
        <f>IF($A153="","",B153)</f>
        <v/>
      </c>
      <c r="H153" s="12">
        <f>IF($A153="","",ROUND(IFERROR(C153/B153,0),0))</f>
        <v/>
      </c>
      <c r="I153" s="11">
        <f>IF($A153="","",IFERROR(D153/Financier!D153,0))</f>
        <v/>
      </c>
      <c r="J153" s="11">
        <f>IF($A153="","",IFERROR(Financier!M153/Financier!G153,0))</f>
        <v/>
      </c>
      <c r="K153" s="12">
        <f>IF($A153="","",F153)</f>
        <v/>
      </c>
      <c r="L153" s="12">
        <f>IF($A153="","",E153)</f>
        <v/>
      </c>
    </row>
    <row r="154" ht="22" customHeight="1">
      <c r="A154" s="9" t="n"/>
      <c r="B154" s="10" t="n"/>
      <c r="C154" s="10" t="n"/>
      <c r="D154" s="10" t="n"/>
      <c r="E154" s="10" t="n"/>
      <c r="F154" s="10" t="n"/>
      <c r="G154" s="12">
        <f>IF($A154="","",B154)</f>
        <v/>
      </c>
      <c r="H154" s="12">
        <f>IF($A154="","",ROUND(IFERROR(C154/B154,0),0))</f>
        <v/>
      </c>
      <c r="I154" s="11">
        <f>IF($A154="","",IFERROR(D154/Financier!D154,0))</f>
        <v/>
      </c>
      <c r="J154" s="11">
        <f>IF($A154="","",IFERROR(Financier!M154/Financier!G154,0))</f>
        <v/>
      </c>
      <c r="K154" s="12">
        <f>IF($A154="","",F154)</f>
        <v/>
      </c>
      <c r="L154" s="12">
        <f>IF($A154="","",E154)</f>
        <v/>
      </c>
    </row>
    <row r="155" ht="22" customHeight="1">
      <c r="A155" s="9" t="n"/>
      <c r="B155" s="10" t="n"/>
      <c r="C155" s="10" t="n"/>
      <c r="D155" s="10" t="n"/>
      <c r="E155" s="10" t="n"/>
      <c r="F155" s="10" t="n"/>
      <c r="G155" s="12">
        <f>IF($A155="","",B155)</f>
        <v/>
      </c>
      <c r="H155" s="12">
        <f>IF($A155="","",ROUND(IFERROR(C155/B155,0),0))</f>
        <v/>
      </c>
      <c r="I155" s="11">
        <f>IF($A155="","",IFERROR(D155/Financier!D155,0))</f>
        <v/>
      </c>
      <c r="J155" s="11">
        <f>IF($A155="","",IFERROR(Financier!M155/Financier!G155,0))</f>
        <v/>
      </c>
      <c r="K155" s="12">
        <f>IF($A155="","",F155)</f>
        <v/>
      </c>
      <c r="L155" s="12">
        <f>IF($A155="","",E155)</f>
        <v/>
      </c>
    </row>
    <row r="156" ht="22" customHeight="1">
      <c r="A156" s="9" t="n"/>
      <c r="B156" s="10" t="n"/>
      <c r="C156" s="10" t="n"/>
      <c r="D156" s="10" t="n"/>
      <c r="E156" s="10" t="n"/>
      <c r="F156" s="10" t="n"/>
      <c r="G156" s="12">
        <f>IF($A156="","",B156)</f>
        <v/>
      </c>
      <c r="H156" s="12">
        <f>IF($A156="","",ROUND(IFERROR(C156/B156,0),0))</f>
        <v/>
      </c>
      <c r="I156" s="11">
        <f>IF($A156="","",IFERROR(D156/Financier!D156,0))</f>
        <v/>
      </c>
      <c r="J156" s="11">
        <f>IF($A156="","",IFERROR(Financier!M156/Financier!G156,0))</f>
        <v/>
      </c>
      <c r="K156" s="12">
        <f>IF($A156="","",F156)</f>
        <v/>
      </c>
      <c r="L156" s="12">
        <f>IF($A156="","",E156)</f>
        <v/>
      </c>
    </row>
    <row r="157" ht="22" customHeight="1">
      <c r="A157" s="9" t="n"/>
      <c r="B157" s="10" t="n"/>
      <c r="C157" s="10" t="n"/>
      <c r="D157" s="10" t="n"/>
      <c r="E157" s="10" t="n"/>
      <c r="F157" s="10" t="n"/>
      <c r="G157" s="12">
        <f>IF($A157="","",B157)</f>
        <v/>
      </c>
      <c r="H157" s="12">
        <f>IF($A157="","",ROUND(IFERROR(C157/B157,0),0))</f>
        <v/>
      </c>
      <c r="I157" s="11">
        <f>IF($A157="","",IFERROR(D157/Financier!D157,0))</f>
        <v/>
      </c>
      <c r="J157" s="11">
        <f>IF($A157="","",IFERROR(Financier!M157/Financier!G157,0))</f>
        <v/>
      </c>
      <c r="K157" s="12">
        <f>IF($A157="","",F157)</f>
        <v/>
      </c>
      <c r="L157" s="12">
        <f>IF($A157="","",E157)</f>
        <v/>
      </c>
    </row>
    <row r="158" ht="22" customHeight="1">
      <c r="A158" s="9" t="n"/>
      <c r="B158" s="10" t="n"/>
      <c r="C158" s="10" t="n"/>
      <c r="D158" s="10" t="n"/>
      <c r="E158" s="10" t="n"/>
      <c r="F158" s="10" t="n"/>
      <c r="G158" s="12">
        <f>IF($A158="","",B158)</f>
        <v/>
      </c>
      <c r="H158" s="12">
        <f>IF($A158="","",ROUND(IFERROR(C158/B158,0),0))</f>
        <v/>
      </c>
      <c r="I158" s="11">
        <f>IF($A158="","",IFERROR(D158/Financier!D158,0))</f>
        <v/>
      </c>
      <c r="J158" s="11">
        <f>IF($A158="","",IFERROR(Financier!M158/Financier!G158,0))</f>
        <v/>
      </c>
      <c r="K158" s="12">
        <f>IF($A158="","",F158)</f>
        <v/>
      </c>
      <c r="L158" s="12">
        <f>IF($A158="","",E158)</f>
        <v/>
      </c>
    </row>
    <row r="159" ht="22" customHeight="1">
      <c r="A159" s="9" t="n"/>
      <c r="B159" s="10" t="n"/>
      <c r="C159" s="10" t="n"/>
      <c r="D159" s="10" t="n"/>
      <c r="E159" s="10" t="n"/>
      <c r="F159" s="10" t="n"/>
      <c r="G159" s="12">
        <f>IF($A159="","",B159)</f>
        <v/>
      </c>
      <c r="H159" s="12">
        <f>IF($A159="","",ROUND(IFERROR(C159/B159,0),0))</f>
        <v/>
      </c>
      <c r="I159" s="11">
        <f>IF($A159="","",IFERROR(D159/Financier!D159,0))</f>
        <v/>
      </c>
      <c r="J159" s="11">
        <f>IF($A159="","",IFERROR(Financier!M159/Financier!G159,0))</f>
        <v/>
      </c>
      <c r="K159" s="12">
        <f>IF($A159="","",F159)</f>
        <v/>
      </c>
      <c r="L159" s="12">
        <f>IF($A159="","",E159)</f>
        <v/>
      </c>
    </row>
    <row r="160" ht="22" customHeight="1">
      <c r="A160" s="9" t="n"/>
      <c r="B160" s="10" t="n"/>
      <c r="C160" s="10" t="n"/>
      <c r="D160" s="10" t="n"/>
      <c r="E160" s="10" t="n"/>
      <c r="F160" s="10" t="n"/>
      <c r="G160" s="12">
        <f>IF($A160="","",B160)</f>
        <v/>
      </c>
      <c r="H160" s="12">
        <f>IF($A160="","",ROUND(IFERROR(C160/B160,0),0))</f>
        <v/>
      </c>
      <c r="I160" s="11">
        <f>IF($A160="","",IFERROR(D160/Financier!D160,0))</f>
        <v/>
      </c>
      <c r="J160" s="11">
        <f>IF($A160="","",IFERROR(Financier!M160/Financier!G160,0))</f>
        <v/>
      </c>
      <c r="K160" s="12">
        <f>IF($A160="","",F160)</f>
        <v/>
      </c>
      <c r="L160" s="12">
        <f>IF($A160="","",E160)</f>
        <v/>
      </c>
    </row>
    <row r="161" ht="22" customHeight="1">
      <c r="A161" s="9" t="n"/>
      <c r="B161" s="10" t="n"/>
      <c r="C161" s="10" t="n"/>
      <c r="D161" s="10" t="n"/>
      <c r="E161" s="10" t="n"/>
      <c r="F161" s="10" t="n"/>
      <c r="G161" s="12">
        <f>IF($A161="","",B161)</f>
        <v/>
      </c>
      <c r="H161" s="12">
        <f>IF($A161="","",ROUND(IFERROR(C161/B161,0),0))</f>
        <v/>
      </c>
      <c r="I161" s="11">
        <f>IF($A161="","",IFERROR(D161/Financier!D161,0))</f>
        <v/>
      </c>
      <c r="J161" s="11">
        <f>IF($A161="","",IFERROR(Financier!M161/Financier!G161,0))</f>
        <v/>
      </c>
      <c r="K161" s="12">
        <f>IF($A161="","",F161)</f>
        <v/>
      </c>
      <c r="L161" s="12">
        <f>IF($A161="","",E161)</f>
        <v/>
      </c>
    </row>
    <row r="162" ht="22" customHeight="1">
      <c r="A162" s="9" t="n"/>
      <c r="B162" s="10" t="n"/>
      <c r="C162" s="10" t="n"/>
      <c r="D162" s="10" t="n"/>
      <c r="E162" s="10" t="n"/>
      <c r="F162" s="10" t="n"/>
      <c r="G162" s="12">
        <f>IF($A162="","",B162)</f>
        <v/>
      </c>
      <c r="H162" s="12">
        <f>IF($A162="","",ROUND(IFERROR(C162/B162,0),0))</f>
        <v/>
      </c>
      <c r="I162" s="11">
        <f>IF($A162="","",IFERROR(D162/Financier!D162,0))</f>
        <v/>
      </c>
      <c r="J162" s="11">
        <f>IF($A162="","",IFERROR(Financier!M162/Financier!G162,0))</f>
        <v/>
      </c>
      <c r="K162" s="12">
        <f>IF($A162="","",F162)</f>
        <v/>
      </c>
      <c r="L162" s="12">
        <f>IF($A162="","",E162)</f>
        <v/>
      </c>
    </row>
    <row r="163" ht="22" customHeight="1">
      <c r="A163" s="9" t="n"/>
      <c r="B163" s="10" t="n"/>
      <c r="C163" s="10" t="n"/>
      <c r="D163" s="10" t="n"/>
      <c r="E163" s="10" t="n"/>
      <c r="F163" s="10" t="n"/>
      <c r="G163" s="12">
        <f>IF($A163="","",B163)</f>
        <v/>
      </c>
      <c r="H163" s="12">
        <f>IF($A163="","",ROUND(IFERROR(C163/B163,0),0))</f>
        <v/>
      </c>
      <c r="I163" s="11">
        <f>IF($A163="","",IFERROR(D163/Financier!D163,0))</f>
        <v/>
      </c>
      <c r="J163" s="11">
        <f>IF($A163="","",IFERROR(Financier!M163/Financier!G163,0))</f>
        <v/>
      </c>
      <c r="K163" s="12">
        <f>IF($A163="","",F163)</f>
        <v/>
      </c>
      <c r="L163" s="12">
        <f>IF($A163="","",E163)</f>
        <v/>
      </c>
    </row>
    <row r="164" ht="22" customHeight="1">
      <c r="A164" s="9" t="n"/>
      <c r="B164" s="10" t="n"/>
      <c r="C164" s="10" t="n"/>
      <c r="D164" s="10" t="n"/>
      <c r="E164" s="10" t="n"/>
      <c r="F164" s="10" t="n"/>
      <c r="G164" s="12">
        <f>IF($A164="","",B164)</f>
        <v/>
      </c>
      <c r="H164" s="12">
        <f>IF($A164="","",ROUND(IFERROR(C164/B164,0),0))</f>
        <v/>
      </c>
      <c r="I164" s="11">
        <f>IF($A164="","",IFERROR(D164/Financier!D164,0))</f>
        <v/>
      </c>
      <c r="J164" s="11">
        <f>IF($A164="","",IFERROR(Financier!M164/Financier!G164,0))</f>
        <v/>
      </c>
      <c r="K164" s="12">
        <f>IF($A164="","",F164)</f>
        <v/>
      </c>
      <c r="L164" s="12">
        <f>IF($A164="","",E164)</f>
        <v/>
      </c>
    </row>
    <row r="165" ht="22" customHeight="1">
      <c r="A165" s="9" t="n"/>
      <c r="B165" s="10" t="n"/>
      <c r="C165" s="10" t="n"/>
      <c r="D165" s="10" t="n"/>
      <c r="E165" s="10" t="n"/>
      <c r="F165" s="10" t="n"/>
      <c r="G165" s="12">
        <f>IF($A165="","",B165)</f>
        <v/>
      </c>
      <c r="H165" s="12">
        <f>IF($A165="","",ROUND(IFERROR(C165/B165,0),0))</f>
        <v/>
      </c>
      <c r="I165" s="11">
        <f>IF($A165="","",IFERROR(D165/Financier!D165,0))</f>
        <v/>
      </c>
      <c r="J165" s="11">
        <f>IF($A165="","",IFERROR(Financier!M165/Financier!G165,0))</f>
        <v/>
      </c>
      <c r="K165" s="12">
        <f>IF($A165="","",F165)</f>
        <v/>
      </c>
      <c r="L165" s="12">
        <f>IF($A165="","",E165)</f>
        <v/>
      </c>
    </row>
    <row r="166" ht="22" customHeight="1">
      <c r="A166" s="9" t="n"/>
      <c r="B166" s="10" t="n"/>
      <c r="C166" s="10" t="n"/>
      <c r="D166" s="10" t="n"/>
      <c r="E166" s="10" t="n"/>
      <c r="F166" s="10" t="n"/>
      <c r="G166" s="12">
        <f>IF($A166="","",B166)</f>
        <v/>
      </c>
      <c r="H166" s="12">
        <f>IF($A166="","",ROUND(IFERROR(C166/B166,0),0))</f>
        <v/>
      </c>
      <c r="I166" s="11">
        <f>IF($A166="","",IFERROR(D166/Financier!D166,0))</f>
        <v/>
      </c>
      <c r="J166" s="11">
        <f>IF($A166="","",IFERROR(Financier!M166/Financier!G166,0))</f>
        <v/>
      </c>
      <c r="K166" s="12">
        <f>IF($A166="","",F166)</f>
        <v/>
      </c>
      <c r="L166" s="12">
        <f>IF($A166="","",E166)</f>
        <v/>
      </c>
    </row>
    <row r="167" ht="22" customHeight="1">
      <c r="A167" s="9" t="n"/>
      <c r="B167" s="10" t="n"/>
      <c r="C167" s="10" t="n"/>
      <c r="D167" s="10" t="n"/>
      <c r="E167" s="10" t="n"/>
      <c r="F167" s="10" t="n"/>
      <c r="G167" s="12">
        <f>IF($A167="","",B167)</f>
        <v/>
      </c>
      <c r="H167" s="12">
        <f>IF($A167="","",ROUND(IFERROR(C167/B167,0),0))</f>
        <v/>
      </c>
      <c r="I167" s="11">
        <f>IF($A167="","",IFERROR(D167/Financier!D167,0))</f>
        <v/>
      </c>
      <c r="J167" s="11">
        <f>IF($A167="","",IFERROR(Financier!M167/Financier!G167,0))</f>
        <v/>
      </c>
      <c r="K167" s="12">
        <f>IF($A167="","",F167)</f>
        <v/>
      </c>
      <c r="L167" s="12">
        <f>IF($A167="","",E167)</f>
        <v/>
      </c>
    </row>
    <row r="168" ht="22" customHeight="1">
      <c r="A168" s="9" t="n"/>
      <c r="B168" s="10" t="n"/>
      <c r="C168" s="10" t="n"/>
      <c r="D168" s="10" t="n"/>
      <c r="E168" s="10" t="n"/>
      <c r="F168" s="10" t="n"/>
      <c r="G168" s="12">
        <f>IF($A168="","",B168)</f>
        <v/>
      </c>
      <c r="H168" s="12">
        <f>IF($A168="","",ROUND(IFERROR(C168/B168,0),0))</f>
        <v/>
      </c>
      <c r="I168" s="11">
        <f>IF($A168="","",IFERROR(D168/Financier!D168,0))</f>
        <v/>
      </c>
      <c r="J168" s="11">
        <f>IF($A168="","",IFERROR(Financier!M168/Financier!G168,0))</f>
        <v/>
      </c>
      <c r="K168" s="12">
        <f>IF($A168="","",F168)</f>
        <v/>
      </c>
      <c r="L168" s="12">
        <f>IF($A168="","",E168)</f>
        <v/>
      </c>
    </row>
    <row r="169" ht="22" customHeight="1">
      <c r="A169" s="9" t="n"/>
      <c r="B169" s="10" t="n"/>
      <c r="C169" s="10" t="n"/>
      <c r="D169" s="10" t="n"/>
      <c r="E169" s="10" t="n"/>
      <c r="F169" s="10" t="n"/>
      <c r="G169" s="12">
        <f>IF($A169="","",B169)</f>
        <v/>
      </c>
      <c r="H169" s="12">
        <f>IF($A169="","",ROUND(IFERROR(C169/B169,0),0))</f>
        <v/>
      </c>
      <c r="I169" s="11">
        <f>IF($A169="","",IFERROR(D169/Financier!D169,0))</f>
        <v/>
      </c>
      <c r="J169" s="11">
        <f>IF($A169="","",IFERROR(Financier!M169/Financier!G169,0))</f>
        <v/>
      </c>
      <c r="K169" s="12">
        <f>IF($A169="","",F169)</f>
        <v/>
      </c>
      <c r="L169" s="12">
        <f>IF($A169="","",E169)</f>
        <v/>
      </c>
    </row>
    <row r="170" ht="22" customHeight="1">
      <c r="A170" s="9" t="n"/>
      <c r="B170" s="10" t="n"/>
      <c r="C170" s="10" t="n"/>
      <c r="D170" s="10" t="n"/>
      <c r="E170" s="10" t="n"/>
      <c r="F170" s="10" t="n"/>
      <c r="G170" s="12">
        <f>IF($A170="","",B170)</f>
        <v/>
      </c>
      <c r="H170" s="12">
        <f>IF($A170="","",ROUND(IFERROR(C170/B170,0),0))</f>
        <v/>
      </c>
      <c r="I170" s="11">
        <f>IF($A170="","",IFERROR(D170/Financier!D170,0))</f>
        <v/>
      </c>
      <c r="J170" s="11">
        <f>IF($A170="","",IFERROR(Financier!M170/Financier!G170,0))</f>
        <v/>
      </c>
      <c r="K170" s="12">
        <f>IF($A170="","",F170)</f>
        <v/>
      </c>
      <c r="L170" s="12">
        <f>IF($A170="","",E170)</f>
        <v/>
      </c>
    </row>
    <row r="171" ht="22" customHeight="1">
      <c r="A171" s="9" t="n"/>
      <c r="B171" s="10" t="n"/>
      <c r="C171" s="10" t="n"/>
      <c r="D171" s="10" t="n"/>
      <c r="E171" s="10" t="n"/>
      <c r="F171" s="10" t="n"/>
      <c r="G171" s="12">
        <f>IF($A171="","",B171)</f>
        <v/>
      </c>
      <c r="H171" s="12">
        <f>IF($A171="","",ROUND(IFERROR(C171/B171,0),0))</f>
        <v/>
      </c>
      <c r="I171" s="11">
        <f>IF($A171="","",IFERROR(D171/Financier!D171,0))</f>
        <v/>
      </c>
      <c r="J171" s="11">
        <f>IF($A171="","",IFERROR(Financier!M171/Financier!G171,0))</f>
        <v/>
      </c>
      <c r="K171" s="12">
        <f>IF($A171="","",F171)</f>
        <v/>
      </c>
      <c r="L171" s="12">
        <f>IF($A171="","",E171)</f>
        <v/>
      </c>
    </row>
    <row r="172" ht="22" customHeight="1">
      <c r="A172" s="9" t="n"/>
      <c r="B172" s="10" t="n"/>
      <c r="C172" s="10" t="n"/>
      <c r="D172" s="10" t="n"/>
      <c r="E172" s="10" t="n"/>
      <c r="F172" s="10" t="n"/>
      <c r="G172" s="12">
        <f>IF($A172="","",B172)</f>
        <v/>
      </c>
      <c r="H172" s="12">
        <f>IF($A172="","",ROUND(IFERROR(C172/B172,0),0))</f>
        <v/>
      </c>
      <c r="I172" s="11">
        <f>IF($A172="","",IFERROR(D172/Financier!D172,0))</f>
        <v/>
      </c>
      <c r="J172" s="11">
        <f>IF($A172="","",IFERROR(Financier!M172/Financier!G172,0))</f>
        <v/>
      </c>
      <c r="K172" s="12">
        <f>IF($A172="","",F172)</f>
        <v/>
      </c>
      <c r="L172" s="12">
        <f>IF($A172="","",E172)</f>
        <v/>
      </c>
    </row>
    <row r="173" ht="22" customHeight="1">
      <c r="A173" s="9" t="n"/>
      <c r="B173" s="10" t="n"/>
      <c r="C173" s="10" t="n"/>
      <c r="D173" s="10" t="n"/>
      <c r="E173" s="10" t="n"/>
      <c r="F173" s="10" t="n"/>
      <c r="G173" s="12">
        <f>IF($A173="","",B173)</f>
        <v/>
      </c>
      <c r="H173" s="12">
        <f>IF($A173="","",ROUND(IFERROR(C173/B173,0),0))</f>
        <v/>
      </c>
      <c r="I173" s="11">
        <f>IF($A173="","",IFERROR(D173/Financier!D173,0))</f>
        <v/>
      </c>
      <c r="J173" s="11">
        <f>IF($A173="","",IFERROR(Financier!M173/Financier!G173,0))</f>
        <v/>
      </c>
      <c r="K173" s="12">
        <f>IF($A173="","",F173)</f>
        <v/>
      </c>
      <c r="L173" s="12">
        <f>IF($A173="","",E173)</f>
        <v/>
      </c>
    </row>
    <row r="174" ht="22" customHeight="1">
      <c r="A174" s="9" t="n"/>
      <c r="B174" s="10" t="n"/>
      <c r="C174" s="10" t="n"/>
      <c r="D174" s="10" t="n"/>
      <c r="E174" s="10" t="n"/>
      <c r="F174" s="10" t="n"/>
      <c r="G174" s="12">
        <f>IF($A174="","",B174)</f>
        <v/>
      </c>
      <c r="H174" s="12">
        <f>IF($A174="","",ROUND(IFERROR(C174/B174,0),0))</f>
        <v/>
      </c>
      <c r="I174" s="11">
        <f>IF($A174="","",IFERROR(D174/Financier!D174,0))</f>
        <v/>
      </c>
      <c r="J174" s="11">
        <f>IF($A174="","",IFERROR(Financier!M174/Financier!G174,0))</f>
        <v/>
      </c>
      <c r="K174" s="12">
        <f>IF($A174="","",F174)</f>
        <v/>
      </c>
      <c r="L174" s="12">
        <f>IF($A174="","",E174)</f>
        <v/>
      </c>
    </row>
    <row r="175" ht="22" customHeight="1">
      <c r="A175" s="9" t="n"/>
      <c r="B175" s="10" t="n"/>
      <c r="C175" s="10" t="n"/>
      <c r="D175" s="10" t="n"/>
      <c r="E175" s="10" t="n"/>
      <c r="F175" s="10" t="n"/>
      <c r="G175" s="12">
        <f>IF($A175="","",B175)</f>
        <v/>
      </c>
      <c r="H175" s="12">
        <f>IF($A175="","",ROUND(IFERROR(C175/B175,0),0))</f>
        <v/>
      </c>
      <c r="I175" s="11">
        <f>IF($A175="","",IFERROR(D175/Financier!D175,0))</f>
        <v/>
      </c>
      <c r="J175" s="11">
        <f>IF($A175="","",IFERROR(Financier!M175/Financier!G175,0))</f>
        <v/>
      </c>
      <c r="K175" s="12">
        <f>IF($A175="","",F175)</f>
        <v/>
      </c>
      <c r="L175" s="12">
        <f>IF($A175="","",E175)</f>
        <v/>
      </c>
    </row>
    <row r="176" ht="22" customHeight="1">
      <c r="A176" s="9" t="n"/>
      <c r="B176" s="10" t="n"/>
      <c r="C176" s="10" t="n"/>
      <c r="D176" s="10" t="n"/>
      <c r="E176" s="10" t="n"/>
      <c r="F176" s="10" t="n"/>
      <c r="G176" s="12">
        <f>IF($A176="","",B176)</f>
        <v/>
      </c>
      <c r="H176" s="12">
        <f>IF($A176="","",ROUND(IFERROR(C176/B176,0),0))</f>
        <v/>
      </c>
      <c r="I176" s="11">
        <f>IF($A176="","",IFERROR(D176/Financier!D176,0))</f>
        <v/>
      </c>
      <c r="J176" s="11">
        <f>IF($A176="","",IFERROR(Financier!M176/Financier!G176,0))</f>
        <v/>
      </c>
      <c r="K176" s="12">
        <f>IF($A176="","",F176)</f>
        <v/>
      </c>
      <c r="L176" s="12">
        <f>IF($A176="","",E176)</f>
        <v/>
      </c>
    </row>
    <row r="177" ht="22" customHeight="1">
      <c r="A177" s="9" t="n"/>
      <c r="B177" s="10" t="n"/>
      <c r="C177" s="10" t="n"/>
      <c r="D177" s="10" t="n"/>
      <c r="E177" s="10" t="n"/>
      <c r="F177" s="10" t="n"/>
      <c r="G177" s="12">
        <f>IF($A177="","",B177)</f>
        <v/>
      </c>
      <c r="H177" s="12">
        <f>IF($A177="","",ROUND(IFERROR(C177/B177,0),0))</f>
        <v/>
      </c>
      <c r="I177" s="11">
        <f>IF($A177="","",IFERROR(D177/Financier!D177,0))</f>
        <v/>
      </c>
      <c r="J177" s="11">
        <f>IF($A177="","",IFERROR(Financier!M177/Financier!G177,0))</f>
        <v/>
      </c>
      <c r="K177" s="12">
        <f>IF($A177="","",F177)</f>
        <v/>
      </c>
      <c r="L177" s="12">
        <f>IF($A177="","",E177)</f>
        <v/>
      </c>
    </row>
    <row r="178" ht="22" customHeight="1">
      <c r="A178" s="9" t="n"/>
      <c r="B178" s="10" t="n"/>
      <c r="C178" s="10" t="n"/>
      <c r="D178" s="10" t="n"/>
      <c r="E178" s="10" t="n"/>
      <c r="F178" s="10" t="n"/>
      <c r="G178" s="12">
        <f>IF($A178="","",B178)</f>
        <v/>
      </c>
      <c r="H178" s="12">
        <f>IF($A178="","",ROUND(IFERROR(C178/B178,0),0))</f>
        <v/>
      </c>
      <c r="I178" s="11">
        <f>IF($A178="","",IFERROR(D178/Financier!D178,0))</f>
        <v/>
      </c>
      <c r="J178" s="11">
        <f>IF($A178="","",IFERROR(Financier!M178/Financier!G178,0))</f>
        <v/>
      </c>
      <c r="K178" s="12">
        <f>IF($A178="","",F178)</f>
        <v/>
      </c>
      <c r="L178" s="12">
        <f>IF($A178="","",E178)</f>
        <v/>
      </c>
    </row>
    <row r="179" ht="22" customHeight="1">
      <c r="A179" s="9" t="n"/>
      <c r="B179" s="10" t="n"/>
      <c r="C179" s="10" t="n"/>
      <c r="D179" s="10" t="n"/>
      <c r="E179" s="10" t="n"/>
      <c r="F179" s="10" t="n"/>
      <c r="G179" s="12">
        <f>IF($A179="","",B179)</f>
        <v/>
      </c>
      <c r="H179" s="12">
        <f>IF($A179="","",ROUND(IFERROR(C179/B179,0),0))</f>
        <v/>
      </c>
      <c r="I179" s="11">
        <f>IF($A179="","",IFERROR(D179/Financier!D179,0))</f>
        <v/>
      </c>
      <c r="J179" s="11">
        <f>IF($A179="","",IFERROR(Financier!M179/Financier!G179,0))</f>
        <v/>
      </c>
      <c r="K179" s="12">
        <f>IF($A179="","",F179)</f>
        <v/>
      </c>
      <c r="L179" s="12">
        <f>IF($A179="","",E179)</f>
        <v/>
      </c>
    </row>
    <row r="180" ht="22" customHeight="1">
      <c r="A180" s="9" t="n"/>
      <c r="B180" s="10" t="n"/>
      <c r="C180" s="10" t="n"/>
      <c r="D180" s="10" t="n"/>
      <c r="E180" s="10" t="n"/>
      <c r="F180" s="10" t="n"/>
      <c r="G180" s="12">
        <f>IF($A180="","",B180)</f>
        <v/>
      </c>
      <c r="H180" s="12">
        <f>IF($A180="","",ROUND(IFERROR(C180/B180,0),0))</f>
        <v/>
      </c>
      <c r="I180" s="11">
        <f>IF($A180="","",IFERROR(D180/Financier!D180,0))</f>
        <v/>
      </c>
      <c r="J180" s="11">
        <f>IF($A180="","",IFERROR(Financier!M180/Financier!G180,0))</f>
        <v/>
      </c>
      <c r="K180" s="12">
        <f>IF($A180="","",F180)</f>
        <v/>
      </c>
      <c r="L180" s="12">
        <f>IF($A180="","",E180)</f>
        <v/>
      </c>
    </row>
    <row r="181" ht="22" customHeight="1">
      <c r="A181" s="9" t="n"/>
      <c r="B181" s="10" t="n"/>
      <c r="C181" s="10" t="n"/>
      <c r="D181" s="10" t="n"/>
      <c r="E181" s="10" t="n"/>
      <c r="F181" s="10" t="n"/>
      <c r="G181" s="12">
        <f>IF($A181="","",B181)</f>
        <v/>
      </c>
      <c r="H181" s="12">
        <f>IF($A181="","",ROUND(IFERROR(C181/B181,0),0))</f>
        <v/>
      </c>
      <c r="I181" s="11">
        <f>IF($A181="","",IFERROR(D181/Financier!D181,0))</f>
        <v/>
      </c>
      <c r="J181" s="11">
        <f>IF($A181="","",IFERROR(Financier!M181/Financier!G181,0))</f>
        <v/>
      </c>
      <c r="K181" s="12">
        <f>IF($A181="","",F181)</f>
        <v/>
      </c>
      <c r="L181" s="12">
        <f>IF($A181="","",E181)</f>
        <v/>
      </c>
    </row>
    <row r="182" ht="22" customHeight="1">
      <c r="A182" s="9" t="n"/>
      <c r="B182" s="10" t="n"/>
      <c r="C182" s="10" t="n"/>
      <c r="D182" s="10" t="n"/>
      <c r="E182" s="10" t="n"/>
      <c r="F182" s="10" t="n"/>
      <c r="G182" s="12">
        <f>IF($A182="","",B182)</f>
        <v/>
      </c>
      <c r="H182" s="12">
        <f>IF($A182="","",ROUND(IFERROR(C182/B182,0),0))</f>
        <v/>
      </c>
      <c r="I182" s="11">
        <f>IF($A182="","",IFERROR(D182/Financier!D182,0))</f>
        <v/>
      </c>
      <c r="J182" s="11">
        <f>IF($A182="","",IFERROR(Financier!M182/Financier!G182,0))</f>
        <v/>
      </c>
      <c r="K182" s="12">
        <f>IF($A182="","",F182)</f>
        <v/>
      </c>
      <c r="L182" s="12">
        <f>IF($A182="","",E182)</f>
        <v/>
      </c>
    </row>
    <row r="183" ht="22" customHeight="1">
      <c r="A183" s="9" t="n"/>
      <c r="B183" s="10" t="n"/>
      <c r="C183" s="10" t="n"/>
      <c r="D183" s="10" t="n"/>
      <c r="E183" s="10" t="n"/>
      <c r="F183" s="10" t="n"/>
      <c r="G183" s="12">
        <f>IF($A183="","",B183)</f>
        <v/>
      </c>
      <c r="H183" s="12">
        <f>IF($A183="","",ROUND(IFERROR(C183/B183,0),0))</f>
        <v/>
      </c>
      <c r="I183" s="11">
        <f>IF($A183="","",IFERROR(D183/Financier!D183,0))</f>
        <v/>
      </c>
      <c r="J183" s="11">
        <f>IF($A183="","",IFERROR(Financier!M183/Financier!G183,0))</f>
        <v/>
      </c>
      <c r="K183" s="12">
        <f>IF($A183="","",F183)</f>
        <v/>
      </c>
      <c r="L183" s="12">
        <f>IF($A183="","",E183)</f>
        <v/>
      </c>
    </row>
    <row r="184" ht="22" customHeight="1">
      <c r="A184" s="9" t="n"/>
      <c r="B184" s="10" t="n"/>
      <c r="C184" s="10" t="n"/>
      <c r="D184" s="10" t="n"/>
      <c r="E184" s="10" t="n"/>
      <c r="F184" s="10" t="n"/>
      <c r="G184" s="12">
        <f>IF($A184="","",B184)</f>
        <v/>
      </c>
      <c r="H184" s="12">
        <f>IF($A184="","",ROUND(IFERROR(C184/B184,0),0))</f>
        <v/>
      </c>
      <c r="I184" s="11">
        <f>IF($A184="","",IFERROR(D184/Financier!D184,0))</f>
        <v/>
      </c>
      <c r="J184" s="11">
        <f>IF($A184="","",IFERROR(Financier!M184/Financier!G184,0))</f>
        <v/>
      </c>
      <c r="K184" s="12">
        <f>IF($A184="","",F184)</f>
        <v/>
      </c>
      <c r="L184" s="12">
        <f>IF($A184="","",E184)</f>
        <v/>
      </c>
    </row>
    <row r="185" ht="22" customHeight="1">
      <c r="A185" s="9" t="n"/>
      <c r="B185" s="10" t="n"/>
      <c r="C185" s="10" t="n"/>
      <c r="D185" s="10" t="n"/>
      <c r="E185" s="10" t="n"/>
      <c r="F185" s="10" t="n"/>
      <c r="G185" s="12">
        <f>IF($A185="","",B185)</f>
        <v/>
      </c>
      <c r="H185" s="12">
        <f>IF($A185="","",ROUND(IFERROR(C185/B185,0),0))</f>
        <v/>
      </c>
      <c r="I185" s="11">
        <f>IF($A185="","",IFERROR(D185/Financier!D185,0))</f>
        <v/>
      </c>
      <c r="J185" s="11">
        <f>IF($A185="","",IFERROR(Financier!M185/Financier!G185,0))</f>
        <v/>
      </c>
      <c r="K185" s="12">
        <f>IF($A185="","",F185)</f>
        <v/>
      </c>
      <c r="L185" s="12">
        <f>IF($A185="","",E185)</f>
        <v/>
      </c>
    </row>
    <row r="186" ht="22" customHeight="1">
      <c r="A186" s="9" t="n"/>
      <c r="B186" s="10" t="n"/>
      <c r="C186" s="10" t="n"/>
      <c r="D186" s="10" t="n"/>
      <c r="E186" s="10" t="n"/>
      <c r="F186" s="10" t="n"/>
      <c r="G186" s="12">
        <f>IF($A186="","",B186)</f>
        <v/>
      </c>
      <c r="H186" s="12">
        <f>IF($A186="","",ROUND(IFERROR(C186/B186,0),0))</f>
        <v/>
      </c>
      <c r="I186" s="11">
        <f>IF($A186="","",IFERROR(D186/Financier!D186,0))</f>
        <v/>
      </c>
      <c r="J186" s="11">
        <f>IF($A186="","",IFERROR(Financier!M186/Financier!G186,0))</f>
        <v/>
      </c>
      <c r="K186" s="12">
        <f>IF($A186="","",F186)</f>
        <v/>
      </c>
      <c r="L186" s="12">
        <f>IF($A186="","",E186)</f>
        <v/>
      </c>
    </row>
    <row r="187" ht="22" customHeight="1">
      <c r="A187" s="9" t="n"/>
      <c r="B187" s="10" t="n"/>
      <c r="C187" s="10" t="n"/>
      <c r="D187" s="10" t="n"/>
      <c r="E187" s="10" t="n"/>
      <c r="F187" s="10" t="n"/>
      <c r="G187" s="12">
        <f>IF($A187="","",B187)</f>
        <v/>
      </c>
      <c r="H187" s="12">
        <f>IF($A187="","",ROUND(IFERROR(C187/B187,0),0))</f>
        <v/>
      </c>
      <c r="I187" s="11">
        <f>IF($A187="","",IFERROR(D187/Financier!D187,0))</f>
        <v/>
      </c>
      <c r="J187" s="11">
        <f>IF($A187="","",IFERROR(Financier!M187/Financier!G187,0))</f>
        <v/>
      </c>
      <c r="K187" s="12">
        <f>IF($A187="","",F187)</f>
        <v/>
      </c>
      <c r="L187" s="12">
        <f>IF($A187="","",E187)</f>
        <v/>
      </c>
    </row>
    <row r="188" ht="22" customHeight="1">
      <c r="A188" s="9" t="n"/>
      <c r="B188" s="10" t="n"/>
      <c r="C188" s="10" t="n"/>
      <c r="D188" s="10" t="n"/>
      <c r="E188" s="10" t="n"/>
      <c r="F188" s="10" t="n"/>
      <c r="G188" s="12">
        <f>IF($A188="","",B188)</f>
        <v/>
      </c>
      <c r="H188" s="12">
        <f>IF($A188="","",ROUND(IFERROR(C188/B188,0),0))</f>
        <v/>
      </c>
      <c r="I188" s="11">
        <f>IF($A188="","",IFERROR(D188/Financier!D188,0))</f>
        <v/>
      </c>
      <c r="J188" s="11">
        <f>IF($A188="","",IFERROR(Financier!M188/Financier!G188,0))</f>
        <v/>
      </c>
      <c r="K188" s="12">
        <f>IF($A188="","",F188)</f>
        <v/>
      </c>
      <c r="L188" s="12">
        <f>IF($A188="","",E188)</f>
        <v/>
      </c>
    </row>
    <row r="189" ht="22" customHeight="1">
      <c r="A189" s="9" t="n"/>
      <c r="B189" s="10" t="n"/>
      <c r="C189" s="10" t="n"/>
      <c r="D189" s="10" t="n"/>
      <c r="E189" s="10" t="n"/>
      <c r="F189" s="10" t="n"/>
      <c r="G189" s="12">
        <f>IF($A189="","",B189)</f>
        <v/>
      </c>
      <c r="H189" s="12">
        <f>IF($A189="","",ROUND(IFERROR(C189/B189,0),0))</f>
        <v/>
      </c>
      <c r="I189" s="11">
        <f>IF($A189="","",IFERROR(D189/Financier!D189,0))</f>
        <v/>
      </c>
      <c r="J189" s="11">
        <f>IF($A189="","",IFERROR(Financier!M189/Financier!G189,0))</f>
        <v/>
      </c>
      <c r="K189" s="12">
        <f>IF($A189="","",F189)</f>
        <v/>
      </c>
      <c r="L189" s="12">
        <f>IF($A189="","",E189)</f>
        <v/>
      </c>
    </row>
    <row r="190" ht="22" customHeight="1">
      <c r="A190" s="9" t="n"/>
      <c r="B190" s="10" t="n"/>
      <c r="C190" s="10" t="n"/>
      <c r="D190" s="10" t="n"/>
      <c r="E190" s="10" t="n"/>
      <c r="F190" s="10" t="n"/>
      <c r="G190" s="12">
        <f>IF($A190="","",B190)</f>
        <v/>
      </c>
      <c r="H190" s="12">
        <f>IF($A190="","",ROUND(IFERROR(C190/B190,0),0))</f>
        <v/>
      </c>
      <c r="I190" s="11">
        <f>IF($A190="","",IFERROR(D190/Financier!D190,0))</f>
        <v/>
      </c>
      <c r="J190" s="11">
        <f>IF($A190="","",IFERROR(Financier!M190/Financier!G190,0))</f>
        <v/>
      </c>
      <c r="K190" s="12">
        <f>IF($A190="","",F190)</f>
        <v/>
      </c>
      <c r="L190" s="12">
        <f>IF($A190="","",E190)</f>
        <v/>
      </c>
    </row>
    <row r="191" ht="22" customHeight="1">
      <c r="A191" s="9" t="n"/>
      <c r="B191" s="10" t="n"/>
      <c r="C191" s="10" t="n"/>
      <c r="D191" s="10" t="n"/>
      <c r="E191" s="10" t="n"/>
      <c r="F191" s="10" t="n"/>
      <c r="G191" s="12">
        <f>IF($A191="","",B191)</f>
        <v/>
      </c>
      <c r="H191" s="12">
        <f>IF($A191="","",ROUND(IFERROR(C191/B191,0),0))</f>
        <v/>
      </c>
      <c r="I191" s="11">
        <f>IF($A191="","",IFERROR(D191/Financier!D191,0))</f>
        <v/>
      </c>
      <c r="J191" s="11">
        <f>IF($A191="","",IFERROR(Financier!M191/Financier!G191,0))</f>
        <v/>
      </c>
      <c r="K191" s="12">
        <f>IF($A191="","",F191)</f>
        <v/>
      </c>
      <c r="L191" s="12">
        <f>IF($A191="","",E191)</f>
        <v/>
      </c>
    </row>
    <row r="192" ht="22" customHeight="1">
      <c r="A192" s="9" t="n"/>
      <c r="B192" s="10" t="n"/>
      <c r="C192" s="10" t="n"/>
      <c r="D192" s="10" t="n"/>
      <c r="E192" s="10" t="n"/>
      <c r="F192" s="10" t="n"/>
      <c r="G192" s="12">
        <f>IF($A192="","",B192)</f>
        <v/>
      </c>
      <c r="H192" s="12">
        <f>IF($A192="","",ROUND(IFERROR(C192/B192,0),0))</f>
        <v/>
      </c>
      <c r="I192" s="11">
        <f>IF($A192="","",IFERROR(D192/Financier!D192,0))</f>
        <v/>
      </c>
      <c r="J192" s="11">
        <f>IF($A192="","",IFERROR(Financier!M192/Financier!G192,0))</f>
        <v/>
      </c>
      <c r="K192" s="12">
        <f>IF($A192="","",F192)</f>
        <v/>
      </c>
      <c r="L192" s="12">
        <f>IF($A192="","",E192)</f>
        <v/>
      </c>
    </row>
    <row r="193" ht="22" customHeight="1">
      <c r="A193" s="9" t="n"/>
      <c r="B193" s="10" t="n"/>
      <c r="C193" s="10" t="n"/>
      <c r="D193" s="10" t="n"/>
      <c r="E193" s="10" t="n"/>
      <c r="F193" s="10" t="n"/>
      <c r="G193" s="12">
        <f>IF($A193="","",B193)</f>
        <v/>
      </c>
      <c r="H193" s="12">
        <f>IF($A193="","",ROUND(IFERROR(C193/B193,0),0))</f>
        <v/>
      </c>
      <c r="I193" s="11">
        <f>IF($A193="","",IFERROR(D193/Financier!D193,0))</f>
        <v/>
      </c>
      <c r="J193" s="11">
        <f>IF($A193="","",IFERROR(Financier!M193/Financier!G193,0))</f>
        <v/>
      </c>
      <c r="K193" s="12">
        <f>IF($A193="","",F193)</f>
        <v/>
      </c>
      <c r="L193" s="12">
        <f>IF($A193="","",E193)</f>
        <v/>
      </c>
    </row>
    <row r="194" ht="22" customHeight="1">
      <c r="A194" s="9" t="n"/>
      <c r="B194" s="10" t="n"/>
      <c r="C194" s="10" t="n"/>
      <c r="D194" s="10" t="n"/>
      <c r="E194" s="10" t="n"/>
      <c r="F194" s="10" t="n"/>
      <c r="G194" s="12">
        <f>IF($A194="","",B194)</f>
        <v/>
      </c>
      <c r="H194" s="12">
        <f>IF($A194="","",ROUND(IFERROR(C194/B194,0),0))</f>
        <v/>
      </c>
      <c r="I194" s="11">
        <f>IF($A194="","",IFERROR(D194/Financier!D194,0))</f>
        <v/>
      </c>
      <c r="J194" s="11">
        <f>IF($A194="","",IFERROR(Financier!M194/Financier!G194,0))</f>
        <v/>
      </c>
      <c r="K194" s="12">
        <f>IF($A194="","",F194)</f>
        <v/>
      </c>
      <c r="L194" s="12">
        <f>IF($A194="","",E194)</f>
        <v/>
      </c>
    </row>
    <row r="195" ht="22" customHeight="1">
      <c r="A195" s="9" t="n"/>
      <c r="B195" s="10" t="n"/>
      <c r="C195" s="10" t="n"/>
      <c r="D195" s="10" t="n"/>
      <c r="E195" s="10" t="n"/>
      <c r="F195" s="10" t="n"/>
      <c r="G195" s="12">
        <f>IF($A195="","",B195)</f>
        <v/>
      </c>
      <c r="H195" s="12">
        <f>IF($A195="","",ROUND(IFERROR(C195/B195,0),0))</f>
        <v/>
      </c>
      <c r="I195" s="11">
        <f>IF($A195="","",IFERROR(D195/Financier!D195,0))</f>
        <v/>
      </c>
      <c r="J195" s="11">
        <f>IF($A195="","",IFERROR(Financier!M195/Financier!G195,0))</f>
        <v/>
      </c>
      <c r="K195" s="12">
        <f>IF($A195="","",F195)</f>
        <v/>
      </c>
      <c r="L195" s="12">
        <f>IF($A195="","",E195)</f>
        <v/>
      </c>
    </row>
    <row r="196" ht="22" customHeight="1">
      <c r="A196" s="9" t="n"/>
      <c r="B196" s="10" t="n"/>
      <c r="C196" s="10" t="n"/>
      <c r="D196" s="10" t="n"/>
      <c r="E196" s="10" t="n"/>
      <c r="F196" s="10" t="n"/>
      <c r="G196" s="12">
        <f>IF($A196="","",B196)</f>
        <v/>
      </c>
      <c r="H196" s="12">
        <f>IF($A196="","",ROUND(IFERROR(C196/B196,0),0))</f>
        <v/>
      </c>
      <c r="I196" s="11">
        <f>IF($A196="","",IFERROR(D196/Financier!D196,0))</f>
        <v/>
      </c>
      <c r="J196" s="11">
        <f>IF($A196="","",IFERROR(Financier!M196/Financier!G196,0))</f>
        <v/>
      </c>
      <c r="K196" s="12">
        <f>IF($A196="","",F196)</f>
        <v/>
      </c>
      <c r="L196" s="12">
        <f>IF($A196="","",E196)</f>
        <v/>
      </c>
    </row>
    <row r="197" ht="22" customHeight="1">
      <c r="A197" s="9" t="n"/>
      <c r="B197" s="10" t="n"/>
      <c r="C197" s="10" t="n"/>
      <c r="D197" s="10" t="n"/>
      <c r="E197" s="10" t="n"/>
      <c r="F197" s="10" t="n"/>
      <c r="G197" s="12">
        <f>IF($A197="","",B197)</f>
        <v/>
      </c>
      <c r="H197" s="12">
        <f>IF($A197="","",ROUND(IFERROR(C197/B197,0),0))</f>
        <v/>
      </c>
      <c r="I197" s="11">
        <f>IF($A197="","",IFERROR(D197/Financier!D197,0))</f>
        <v/>
      </c>
      <c r="J197" s="11">
        <f>IF($A197="","",IFERROR(Financier!M197/Financier!G197,0))</f>
        <v/>
      </c>
      <c r="K197" s="12">
        <f>IF($A197="","",F197)</f>
        <v/>
      </c>
      <c r="L197" s="12">
        <f>IF($A197="","",E197)</f>
        <v/>
      </c>
    </row>
    <row r="198" ht="22" customHeight="1">
      <c r="A198" s="9" t="n"/>
      <c r="B198" s="10" t="n"/>
      <c r="C198" s="10" t="n"/>
      <c r="D198" s="10" t="n"/>
      <c r="E198" s="10" t="n"/>
      <c r="F198" s="10" t="n"/>
      <c r="G198" s="12">
        <f>IF($A198="","",B198)</f>
        <v/>
      </c>
      <c r="H198" s="12">
        <f>IF($A198="","",ROUND(IFERROR(C198/B198,0),0))</f>
        <v/>
      </c>
      <c r="I198" s="11">
        <f>IF($A198="","",IFERROR(D198/Financier!D198,0))</f>
        <v/>
      </c>
      <c r="J198" s="11">
        <f>IF($A198="","",IFERROR(Financier!M198/Financier!G198,0))</f>
        <v/>
      </c>
      <c r="K198" s="12">
        <f>IF($A198="","",F198)</f>
        <v/>
      </c>
      <c r="L198" s="12">
        <f>IF($A198="","",E198)</f>
        <v/>
      </c>
    </row>
    <row r="199" ht="22" customHeight="1">
      <c r="A199" s="9" t="n"/>
      <c r="B199" s="10" t="n"/>
      <c r="C199" s="10" t="n"/>
      <c r="D199" s="10" t="n"/>
      <c r="E199" s="10" t="n"/>
      <c r="F199" s="10" t="n"/>
      <c r="G199" s="12">
        <f>IF($A199="","",B199)</f>
        <v/>
      </c>
      <c r="H199" s="12">
        <f>IF($A199="","",ROUND(IFERROR(C199/B199,0),0))</f>
        <v/>
      </c>
      <c r="I199" s="11">
        <f>IF($A199="","",IFERROR(D199/Financier!D199,0))</f>
        <v/>
      </c>
      <c r="J199" s="11">
        <f>IF($A199="","",IFERROR(Financier!M199/Financier!G199,0))</f>
        <v/>
      </c>
      <c r="K199" s="12">
        <f>IF($A199="","",F199)</f>
        <v/>
      </c>
      <c r="L199" s="12">
        <f>IF($A199="","",E199)</f>
        <v/>
      </c>
    </row>
    <row r="200" ht="22" customHeight="1">
      <c r="A200" s="9" t="n"/>
      <c r="B200" s="10" t="n"/>
      <c r="C200" s="10" t="n"/>
      <c r="D200" s="10" t="n"/>
      <c r="E200" s="10" t="n"/>
      <c r="F200" s="10" t="n"/>
      <c r="G200" s="12">
        <f>IF($A200="","",B200)</f>
        <v/>
      </c>
      <c r="H200" s="12">
        <f>IF($A200="","",ROUND(IFERROR(C200/B200,0),0))</f>
        <v/>
      </c>
      <c r="I200" s="11">
        <f>IF($A200="","",IFERROR(D200/Financier!D200,0))</f>
        <v/>
      </c>
      <c r="J200" s="11">
        <f>IF($A200="","",IFERROR(Financier!M200/Financier!G200,0))</f>
        <v/>
      </c>
      <c r="K200" s="12">
        <f>IF($A200="","",F200)</f>
        <v/>
      </c>
      <c r="L200" s="12">
        <f>IF($A200="","",E200)</f>
        <v/>
      </c>
    </row>
  </sheetData>
  <autoFilter ref="A1:L200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D1D5DB"/>
    <outlinePr summaryBelow="1" summaryRight="1"/>
    <pageSetUpPr/>
  </sheetPr>
  <dimension ref="A1:G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8" customWidth="1" min="2" max="2"/>
    <col width="19" customWidth="1" min="3" max="3"/>
    <col width="20" customWidth="1" min="4" max="4"/>
    <col width="32" customWidth="1" min="5" max="5"/>
    <col width="32" customWidth="1" min="6" max="6"/>
    <col width="32" customWidth="1" min="7" max="7"/>
  </cols>
  <sheetData>
    <row r="1" ht="30" customHeight="1">
      <c r="A1" s="7" t="inlineStr">
        <is>
          <t>week_start</t>
        </is>
      </c>
      <c r="B1" s="7" t="inlineStr">
        <is>
          <t>score_discipline</t>
        </is>
      </c>
      <c r="C1" s="7" t="inlineStr">
        <is>
          <t>top_beneficiaires</t>
        </is>
      </c>
      <c r="D1" s="7" t="inlineStr">
        <is>
          <t>flop_beneficiaires</t>
        </is>
      </c>
      <c r="E1" s="8" t="inlineStr">
        <is>
          <t>score_discipline_calcule</t>
        </is>
      </c>
      <c r="F1" s="8" t="inlineStr">
        <is>
          <t>top_beneficiaires_calcule</t>
        </is>
      </c>
      <c r="G1" s="8" t="inlineStr">
        <is>
          <t>flop_beneficiaires_calcule</t>
        </is>
      </c>
    </row>
    <row r="2" ht="22" customHeight="1">
      <c r="A2" s="9" t="n">
        <v>46027</v>
      </c>
      <c r="B2" s="10" t="n">
        <v>0</v>
      </c>
      <c r="C2" s="10" t="n">
        <v>0</v>
      </c>
      <c r="D2" s="10" t="n">
        <v>0</v>
      </c>
      <c r="E2" s="11">
        <f>IF($A2="","",MAX(0,(Financier!V2*0.4)+(Financier!S2*0.2)+(Operationnel!K2*0.2)-(IFERROR(Risque!B2/Financier!I2,0)*0.2)))</f>
        <v/>
      </c>
      <c r="F2" s="12">
        <f>IF($A2="","",ROUND(Social!B2*MAX(0,MIN(0.45,E2))*0.28,0))</f>
        <v/>
      </c>
      <c r="G2" s="12">
        <f>IF($A2="","",ROUND(Risque!B2*0.35,0))</f>
        <v/>
      </c>
    </row>
    <row r="3" ht="22" customHeight="1">
      <c r="A3" s="9" t="n">
        <v>46034</v>
      </c>
      <c r="B3" s="10" t="n">
        <v>0</v>
      </c>
      <c r="C3" s="10" t="n">
        <v>0</v>
      </c>
      <c r="D3" s="10" t="n">
        <v>0</v>
      </c>
      <c r="E3" s="11">
        <f>IF($A3="","",MAX(0,(Financier!V3*0.4)+(Financier!S3*0.2)+(Operationnel!K3*0.2)-(IFERROR(Risque!B3/Financier!I3,0)*0.2)))</f>
        <v/>
      </c>
      <c r="F3" s="12">
        <f>IF($A3="","",ROUND(Social!B3*MAX(0,MIN(0.45,E3))*0.28,0))</f>
        <v/>
      </c>
      <c r="G3" s="12">
        <f>IF($A3="","",ROUND(Risque!B3*0.35,0))</f>
        <v/>
      </c>
    </row>
    <row r="4" ht="22" customHeight="1">
      <c r="A4" s="9" t="n">
        <v>46041</v>
      </c>
      <c r="B4" s="10" t="n">
        <v>0</v>
      </c>
      <c r="C4" s="10" t="n">
        <v>0</v>
      </c>
      <c r="D4" s="10" t="n">
        <v>0</v>
      </c>
      <c r="E4" s="11">
        <f>IF($A4="","",MAX(0,(Financier!V4*0.4)+(Financier!S4*0.2)+(Operationnel!K4*0.2)-(IFERROR(Risque!B4/Financier!I4,0)*0.2)))</f>
        <v/>
      </c>
      <c r="F4" s="12">
        <f>IF($A4="","",ROUND(Social!B4*MAX(0,MIN(0.45,E4))*0.28,0))</f>
        <v/>
      </c>
      <c r="G4" s="12">
        <f>IF($A4="","",ROUND(Risque!B4*0.35,0))</f>
        <v/>
      </c>
    </row>
    <row r="5" ht="22" customHeight="1">
      <c r="A5" s="9" t="n">
        <v>46048</v>
      </c>
      <c r="B5" s="10" t="n">
        <v>0</v>
      </c>
      <c r="C5" s="10" t="n">
        <v>0</v>
      </c>
      <c r="D5" s="10" t="n">
        <v>0</v>
      </c>
      <c r="E5" s="11">
        <f>IF($A5="","",MAX(0,(Financier!V5*0.4)+(Financier!S5*0.2)+(Operationnel!K5*0.2)-(IFERROR(Risque!B5/Financier!I5,0)*0.2)))</f>
        <v/>
      </c>
      <c r="F5" s="12">
        <f>IF($A5="","",ROUND(Social!B5*MAX(0,MIN(0.45,E5))*0.28,0))</f>
        <v/>
      </c>
      <c r="G5" s="12">
        <f>IF($A5="","",ROUND(Risque!B5*0.35,0))</f>
        <v/>
      </c>
    </row>
    <row r="6" ht="22" customHeight="1">
      <c r="A6" s="9" t="n">
        <v>46055</v>
      </c>
      <c r="B6" s="10" t="n">
        <v>0</v>
      </c>
      <c r="C6" s="10" t="n">
        <v>0</v>
      </c>
      <c r="D6" s="10" t="n">
        <v>0</v>
      </c>
      <c r="E6" s="11">
        <f>IF($A6="","",MAX(0,(Financier!V6*0.4)+(Financier!S6*0.2)+(Operationnel!K6*0.2)-(IFERROR(Risque!B6/Financier!I6,0)*0.2)))</f>
        <v/>
      </c>
      <c r="F6" s="12">
        <f>IF($A6="","",ROUND(Social!B6*MAX(0,MIN(0.45,E6))*0.28,0))</f>
        <v/>
      </c>
      <c r="G6" s="12">
        <f>IF($A6="","",ROUND(Risque!B6*0.35,0))</f>
        <v/>
      </c>
    </row>
    <row r="7" ht="22" customHeight="1">
      <c r="A7" s="9" t="n">
        <v>46062</v>
      </c>
      <c r="B7" s="10" t="n">
        <v>0</v>
      </c>
      <c r="C7" s="10" t="n">
        <v>0</v>
      </c>
      <c r="D7" s="10" t="n">
        <v>0</v>
      </c>
      <c r="E7" s="11">
        <f>IF($A7="","",MAX(0,(Financier!V7*0.4)+(Financier!S7*0.2)+(Operationnel!K7*0.2)-(IFERROR(Risque!B7/Financier!I7,0)*0.2)))</f>
        <v/>
      </c>
      <c r="F7" s="12">
        <f>IF($A7="","",ROUND(Social!B7*MAX(0,MIN(0.45,E7))*0.28,0))</f>
        <v/>
      </c>
      <c r="G7" s="12">
        <f>IF($A7="","",ROUND(Risque!B7*0.35,0))</f>
        <v/>
      </c>
    </row>
    <row r="8" ht="22" customHeight="1">
      <c r="A8" s="9" t="n">
        <v>46069</v>
      </c>
      <c r="B8" s="10" t="n">
        <v>0</v>
      </c>
      <c r="C8" s="10" t="n">
        <v>0</v>
      </c>
      <c r="D8" s="10" t="n">
        <v>0</v>
      </c>
      <c r="E8" s="11">
        <f>IF($A8="","",MAX(0,(Financier!V8*0.4)+(Financier!S8*0.2)+(Operationnel!K8*0.2)-(IFERROR(Risque!B8/Financier!I8,0)*0.2)))</f>
        <v/>
      </c>
      <c r="F8" s="12">
        <f>IF($A8="","",ROUND(Social!B8*MAX(0,MIN(0.45,E8))*0.28,0))</f>
        <v/>
      </c>
      <c r="G8" s="12">
        <f>IF($A8="","",ROUND(Risque!B8*0.35,0))</f>
        <v/>
      </c>
    </row>
    <row r="9" ht="22" customHeight="1">
      <c r="A9" s="9" t="n">
        <v>46076</v>
      </c>
      <c r="B9" s="10" t="n">
        <v>0</v>
      </c>
      <c r="C9" s="10" t="n">
        <v>0</v>
      </c>
      <c r="D9" s="10" t="n">
        <v>0</v>
      </c>
      <c r="E9" s="11">
        <f>IF($A9="","",MAX(0,(Financier!V9*0.4)+(Financier!S9*0.2)+(Operationnel!K9*0.2)-(IFERROR(Risque!B9/Financier!I9,0)*0.2)))</f>
        <v/>
      </c>
      <c r="F9" s="12">
        <f>IF($A9="","",ROUND(Social!B9*MAX(0,MIN(0.45,E9))*0.28,0))</f>
        <v/>
      </c>
      <c r="G9" s="12">
        <f>IF($A9="","",ROUND(Risque!B9*0.35,0))</f>
        <v/>
      </c>
    </row>
    <row r="10" ht="22" customHeight="1">
      <c r="A10" s="9" t="n">
        <v>46083</v>
      </c>
      <c r="B10" s="10" t="n">
        <v>0</v>
      </c>
      <c r="C10" s="10" t="n">
        <v>0</v>
      </c>
      <c r="D10" s="10" t="n">
        <v>0</v>
      </c>
      <c r="E10" s="11">
        <f>IF($A10="","",MAX(0,(Financier!V10*0.4)+(Financier!S10*0.2)+(Operationnel!K10*0.2)-(IFERROR(Risque!B10/Financier!I10,0)*0.2)))</f>
        <v/>
      </c>
      <c r="F10" s="12">
        <f>IF($A10="","",ROUND(Social!B10*MAX(0,MIN(0.45,E10))*0.28,0))</f>
        <v/>
      </c>
      <c r="G10" s="12">
        <f>IF($A10="","",ROUND(Risque!B10*0.35,0))</f>
        <v/>
      </c>
    </row>
    <row r="11" ht="22" customHeight="1">
      <c r="A11" s="9" t="n">
        <v>46090</v>
      </c>
      <c r="B11" s="10" t="n">
        <v>0</v>
      </c>
      <c r="C11" s="10" t="n">
        <v>0</v>
      </c>
      <c r="D11" s="10" t="n">
        <v>0</v>
      </c>
      <c r="E11" s="11">
        <f>IF($A11="","",MAX(0,(Financier!V11*0.4)+(Financier!S11*0.2)+(Operationnel!K11*0.2)-(IFERROR(Risque!B11/Financier!I11,0)*0.2)))</f>
        <v/>
      </c>
      <c r="F11" s="12">
        <f>IF($A11="","",ROUND(Social!B11*MAX(0,MIN(0.45,E11))*0.28,0))</f>
        <v/>
      </c>
      <c r="G11" s="12">
        <f>IF($A11="","",ROUND(Risque!B11*0.35,0))</f>
        <v/>
      </c>
    </row>
    <row r="12" ht="22" customHeight="1">
      <c r="A12" s="9" t="n">
        <v>46097</v>
      </c>
      <c r="B12" s="10" t="n">
        <v>0</v>
      </c>
      <c r="C12" s="10" t="n">
        <v>0</v>
      </c>
      <c r="D12" s="10" t="n">
        <v>0</v>
      </c>
      <c r="E12" s="11">
        <f>IF($A12="","",MAX(0,(Financier!V12*0.4)+(Financier!S12*0.2)+(Operationnel!K12*0.2)-(IFERROR(Risque!B12/Financier!I12,0)*0.2)))</f>
        <v/>
      </c>
      <c r="F12" s="12">
        <f>IF($A12="","",ROUND(Social!B12*MAX(0,MIN(0.45,E12))*0.28,0))</f>
        <v/>
      </c>
      <c r="G12" s="12">
        <f>IF($A12="","",ROUND(Risque!B12*0.35,0))</f>
        <v/>
      </c>
    </row>
    <row r="13" ht="22" customHeight="1">
      <c r="A13" s="9" t="n">
        <v>46104</v>
      </c>
      <c r="B13" s="10" t="n">
        <v>0</v>
      </c>
      <c r="C13" s="10" t="n">
        <v>0</v>
      </c>
      <c r="D13" s="10" t="n">
        <v>0</v>
      </c>
      <c r="E13" s="11">
        <f>IF($A13="","",MAX(0,(Financier!V13*0.4)+(Financier!S13*0.2)+(Operationnel!K13*0.2)-(IFERROR(Risque!B13/Financier!I13,0)*0.2)))</f>
        <v/>
      </c>
      <c r="F13" s="12">
        <f>IF($A13="","",ROUND(Social!B13*MAX(0,MIN(0.45,E13))*0.28,0))</f>
        <v/>
      </c>
      <c r="G13" s="12">
        <f>IF($A13="","",ROUND(Risque!B13*0.35,0))</f>
        <v/>
      </c>
    </row>
    <row r="14" ht="22" customHeight="1">
      <c r="A14" s="9" t="n">
        <v>46111</v>
      </c>
      <c r="B14" s="10" t="n">
        <v>0</v>
      </c>
      <c r="C14" s="10" t="n">
        <v>0</v>
      </c>
      <c r="D14" s="10" t="n">
        <v>0</v>
      </c>
      <c r="E14" s="11">
        <f>IF($A14="","",MAX(0,(Financier!V14*0.4)+(Financier!S14*0.2)+(Operationnel!K14*0.2)-(IFERROR(Risque!B14/Financier!I14,0)*0.2)))</f>
        <v/>
      </c>
      <c r="F14" s="12">
        <f>IF($A14="","",ROUND(Social!B14*MAX(0,MIN(0.45,E14))*0.28,0))</f>
        <v/>
      </c>
      <c r="G14" s="12">
        <f>IF($A14="","",ROUND(Risque!B14*0.35,0))</f>
        <v/>
      </c>
    </row>
    <row r="15" ht="22" customHeight="1">
      <c r="A15" s="9" t="n">
        <v>46118</v>
      </c>
      <c r="B15" s="10" t="n">
        <v>0</v>
      </c>
      <c r="C15" s="10" t="n">
        <v>0</v>
      </c>
      <c r="D15" s="10" t="n">
        <v>0</v>
      </c>
      <c r="E15" s="11">
        <f>IF($A15="","",MAX(0,(Financier!V15*0.4)+(Financier!S15*0.2)+(Operationnel!K15*0.2)-(IFERROR(Risque!B15/Financier!I15,0)*0.2)))</f>
        <v/>
      </c>
      <c r="F15" s="12">
        <f>IF($A15="","",ROUND(Social!B15*MAX(0,MIN(0.45,E15))*0.28,0))</f>
        <v/>
      </c>
      <c r="G15" s="12">
        <f>IF($A15="","",ROUND(Risque!B15*0.35,0))</f>
        <v/>
      </c>
    </row>
    <row r="16" ht="22" customHeight="1">
      <c r="A16" s="9" t="n">
        <v>46125</v>
      </c>
      <c r="B16" s="10" t="n">
        <v>0</v>
      </c>
      <c r="C16" s="10" t="n">
        <v>0</v>
      </c>
      <c r="D16" s="10" t="n">
        <v>0</v>
      </c>
      <c r="E16" s="11">
        <f>IF($A16="","",MAX(0,(Financier!V16*0.4)+(Financier!S16*0.2)+(Operationnel!K16*0.2)-(IFERROR(Risque!B16/Financier!I16,0)*0.2)))</f>
        <v/>
      </c>
      <c r="F16" s="12">
        <f>IF($A16="","",ROUND(Social!B16*MAX(0,MIN(0.45,E16))*0.28,0))</f>
        <v/>
      </c>
      <c r="G16" s="12">
        <f>IF($A16="","",ROUND(Risque!B16*0.35,0))</f>
        <v/>
      </c>
    </row>
    <row r="17" ht="22" customHeight="1">
      <c r="A17" s="9" t="n">
        <v>46132</v>
      </c>
      <c r="B17" s="10" t="n">
        <v>0</v>
      </c>
      <c r="C17" s="10" t="n">
        <v>0</v>
      </c>
      <c r="D17" s="10" t="n">
        <v>0</v>
      </c>
      <c r="E17" s="11">
        <f>IF($A17="","",MAX(0,(Financier!V17*0.4)+(Financier!S17*0.2)+(Operationnel!K17*0.2)-(IFERROR(Risque!B17/Financier!I17,0)*0.2)))</f>
        <v/>
      </c>
      <c r="F17" s="12">
        <f>IF($A17="","",ROUND(Social!B17*MAX(0,MIN(0.45,E17))*0.28,0))</f>
        <v/>
      </c>
      <c r="G17" s="12">
        <f>IF($A17="","",ROUND(Risque!B17*0.35,0))</f>
        <v/>
      </c>
    </row>
    <row r="18" ht="22" customHeight="1">
      <c r="A18" s="9" t="n">
        <v>46139</v>
      </c>
      <c r="B18" s="10" t="n">
        <v>0</v>
      </c>
      <c r="C18" s="10" t="n">
        <v>0</v>
      </c>
      <c r="D18" s="10" t="n">
        <v>0</v>
      </c>
      <c r="E18" s="11">
        <f>IF($A18="","",MAX(0,(Financier!V18*0.4)+(Financier!S18*0.2)+(Operationnel!K18*0.2)-(IFERROR(Risque!B18/Financier!I18,0)*0.2)))</f>
        <v/>
      </c>
      <c r="F18" s="12">
        <f>IF($A18="","",ROUND(Social!B18*MAX(0,MIN(0.45,E18))*0.28,0))</f>
        <v/>
      </c>
      <c r="G18" s="12">
        <f>IF($A18="","",ROUND(Risque!B18*0.35,0))</f>
        <v/>
      </c>
    </row>
    <row r="19" ht="22" customHeight="1">
      <c r="A19" s="9" t="n">
        <v>46146</v>
      </c>
      <c r="B19" s="10" t="n">
        <v>0</v>
      </c>
      <c r="C19" s="10" t="n">
        <v>0</v>
      </c>
      <c r="D19" s="10" t="n">
        <v>0</v>
      </c>
      <c r="E19" s="11">
        <f>IF($A19="","",MAX(0,(Financier!V19*0.4)+(Financier!S19*0.2)+(Operationnel!K19*0.2)-(IFERROR(Risque!B19/Financier!I19,0)*0.2)))</f>
        <v/>
      </c>
      <c r="F19" s="12">
        <f>IF($A19="","",ROUND(Social!B19*MAX(0,MIN(0.45,E19))*0.28,0))</f>
        <v/>
      </c>
      <c r="G19" s="12">
        <f>IF($A19="","",ROUND(Risque!B19*0.35,0))</f>
        <v/>
      </c>
    </row>
    <row r="20" ht="22" customHeight="1">
      <c r="A20" s="9" t="n">
        <v>46153</v>
      </c>
      <c r="B20" s="10" t="n">
        <v>0</v>
      </c>
      <c r="C20" s="10" t="n">
        <v>0</v>
      </c>
      <c r="D20" s="10" t="n">
        <v>0</v>
      </c>
      <c r="E20" s="11">
        <f>IF($A20="","",MAX(0,(Financier!V20*0.4)+(Financier!S20*0.2)+(Operationnel!K20*0.2)-(IFERROR(Risque!B20/Financier!I20,0)*0.2)))</f>
        <v/>
      </c>
      <c r="F20" s="12">
        <f>IF($A20="","",ROUND(Social!B20*MAX(0,MIN(0.45,E20))*0.28,0))</f>
        <v/>
      </c>
      <c r="G20" s="12">
        <f>IF($A20="","",ROUND(Risque!B20*0.35,0))</f>
        <v/>
      </c>
    </row>
    <row r="21" ht="22" customHeight="1">
      <c r="A21" s="9" t="n">
        <v>46160</v>
      </c>
      <c r="B21" s="10" t="n">
        <v>0</v>
      </c>
      <c r="C21" s="10" t="n">
        <v>0</v>
      </c>
      <c r="D21" s="10" t="n">
        <v>0</v>
      </c>
      <c r="E21" s="11">
        <f>IF($A21="","",MAX(0,(Financier!V21*0.4)+(Financier!S21*0.2)+(Operationnel!K21*0.2)-(IFERROR(Risque!B21/Financier!I21,0)*0.2)))</f>
        <v/>
      </c>
      <c r="F21" s="12">
        <f>IF($A21="","",ROUND(Social!B21*MAX(0,MIN(0.45,E21))*0.28,0))</f>
        <v/>
      </c>
      <c r="G21" s="12">
        <f>IF($A21="","",ROUND(Risque!B21*0.35,0))</f>
        <v/>
      </c>
    </row>
    <row r="22" ht="22" customHeight="1">
      <c r="A22" s="9" t="n">
        <v>46167</v>
      </c>
      <c r="B22" s="10" t="n">
        <v>0</v>
      </c>
      <c r="C22" s="10" t="n">
        <v>0</v>
      </c>
      <c r="D22" s="10" t="n">
        <v>0</v>
      </c>
      <c r="E22" s="11">
        <f>IF($A22="","",MAX(0,(Financier!V22*0.4)+(Financier!S22*0.2)+(Operationnel!K22*0.2)-(IFERROR(Risque!B22/Financier!I22,0)*0.2)))</f>
        <v/>
      </c>
      <c r="F22" s="12">
        <f>IF($A22="","",ROUND(Social!B22*MAX(0,MIN(0.45,E22))*0.28,0))</f>
        <v/>
      </c>
      <c r="G22" s="12">
        <f>IF($A22="","",ROUND(Risque!B22*0.35,0))</f>
        <v/>
      </c>
    </row>
    <row r="23" ht="22" customHeight="1">
      <c r="A23" s="9" t="n">
        <v>46174</v>
      </c>
      <c r="B23" s="10" t="n">
        <v>0</v>
      </c>
      <c r="C23" s="10" t="n">
        <v>0</v>
      </c>
      <c r="D23" s="10" t="n">
        <v>0</v>
      </c>
      <c r="E23" s="11">
        <f>IF($A23="","",MAX(0,(Financier!V23*0.4)+(Financier!S23*0.2)+(Operationnel!K23*0.2)-(IFERROR(Risque!B23/Financier!I23,0)*0.2)))</f>
        <v/>
      </c>
      <c r="F23" s="12">
        <f>IF($A23="","",ROUND(Social!B23*MAX(0,MIN(0.45,E23))*0.28,0))</f>
        <v/>
      </c>
      <c r="G23" s="12">
        <f>IF($A23="","",ROUND(Risque!B23*0.35,0))</f>
        <v/>
      </c>
    </row>
    <row r="24" ht="22" customHeight="1">
      <c r="A24" s="9" t="n">
        <v>46181</v>
      </c>
      <c r="B24" s="10" t="n">
        <v>0</v>
      </c>
      <c r="C24" s="10" t="n">
        <v>0</v>
      </c>
      <c r="D24" s="10" t="n">
        <v>0</v>
      </c>
      <c r="E24" s="11">
        <f>IF($A24="","",MAX(0,(Financier!V24*0.4)+(Financier!S24*0.2)+(Operationnel!K24*0.2)-(IFERROR(Risque!B24/Financier!I24,0)*0.2)))</f>
        <v/>
      </c>
      <c r="F24" s="12">
        <f>IF($A24="","",ROUND(Social!B24*MAX(0,MIN(0.45,E24))*0.28,0))</f>
        <v/>
      </c>
      <c r="G24" s="12">
        <f>IF($A24="","",ROUND(Risque!B24*0.35,0))</f>
        <v/>
      </c>
    </row>
    <row r="25" ht="22" customHeight="1">
      <c r="A25" s="9" t="n">
        <v>46188</v>
      </c>
      <c r="B25" s="10" t="n">
        <v>0</v>
      </c>
      <c r="C25" s="10" t="n">
        <v>0</v>
      </c>
      <c r="D25" s="10" t="n">
        <v>0</v>
      </c>
      <c r="E25" s="11">
        <f>IF($A25="","",MAX(0,(Financier!V25*0.4)+(Financier!S25*0.2)+(Operationnel!K25*0.2)-(IFERROR(Risque!B25/Financier!I25,0)*0.2)))</f>
        <v/>
      </c>
      <c r="F25" s="12">
        <f>IF($A25="","",ROUND(Social!B25*MAX(0,MIN(0.45,E25))*0.28,0))</f>
        <v/>
      </c>
      <c r="G25" s="12">
        <f>IF($A25="","",ROUND(Risque!B25*0.35,0))</f>
        <v/>
      </c>
    </row>
    <row r="26" ht="22" customHeight="1">
      <c r="A26" s="9" t="n">
        <v>46195</v>
      </c>
      <c r="B26" s="10" t="n">
        <v>0</v>
      </c>
      <c r="C26" s="10" t="n">
        <v>0</v>
      </c>
      <c r="D26" s="10" t="n">
        <v>0</v>
      </c>
      <c r="E26" s="11">
        <f>IF($A26="","",MAX(0,(Financier!V26*0.4)+(Financier!S26*0.2)+(Operationnel!K26*0.2)-(IFERROR(Risque!B26/Financier!I26,0)*0.2)))</f>
        <v/>
      </c>
      <c r="F26" s="12">
        <f>IF($A26="","",ROUND(Social!B26*MAX(0,MIN(0.45,E26))*0.28,0))</f>
        <v/>
      </c>
      <c r="G26" s="12">
        <f>IF($A26="","",ROUND(Risque!B26*0.35,0))</f>
        <v/>
      </c>
    </row>
    <row r="27" ht="22" customHeight="1">
      <c r="A27" s="9" t="n">
        <v>46202</v>
      </c>
      <c r="B27" s="10" t="n">
        <v>0</v>
      </c>
      <c r="C27" s="10" t="n">
        <v>0</v>
      </c>
      <c r="D27" s="10" t="n">
        <v>0</v>
      </c>
      <c r="E27" s="11">
        <f>IF($A27="","",MAX(0,(Financier!V27*0.4)+(Financier!S27*0.2)+(Operationnel!K27*0.2)-(IFERROR(Risque!B27/Financier!I27,0)*0.2)))</f>
        <v/>
      </c>
      <c r="F27" s="12">
        <f>IF($A27="","",ROUND(Social!B27*MAX(0,MIN(0.45,E27))*0.28,0))</f>
        <v/>
      </c>
      <c r="G27" s="12">
        <f>IF($A27="","",ROUND(Risque!B27*0.35,0))</f>
        <v/>
      </c>
    </row>
    <row r="28" ht="22" customHeight="1">
      <c r="A28" s="9" t="n">
        <v>46209</v>
      </c>
      <c r="B28" s="10" t="n">
        <v>0</v>
      </c>
      <c r="C28" s="10" t="n">
        <v>0</v>
      </c>
      <c r="D28" s="10" t="n">
        <v>0</v>
      </c>
      <c r="E28" s="11">
        <f>IF($A28="","",MAX(0,(Financier!V28*0.4)+(Financier!S28*0.2)+(Operationnel!K28*0.2)-(IFERROR(Risque!B28/Financier!I28,0)*0.2)))</f>
        <v/>
      </c>
      <c r="F28" s="12">
        <f>IF($A28="","",ROUND(Social!B28*MAX(0,MIN(0.45,E28))*0.28,0))</f>
        <v/>
      </c>
      <c r="G28" s="12">
        <f>IF($A28="","",ROUND(Risque!B28*0.35,0))</f>
        <v/>
      </c>
    </row>
    <row r="29" ht="22" customHeight="1">
      <c r="A29" s="9" t="n">
        <v>46216</v>
      </c>
      <c r="B29" s="10" t="n">
        <v>0</v>
      </c>
      <c r="C29" s="10" t="n">
        <v>0</v>
      </c>
      <c r="D29" s="10" t="n">
        <v>0</v>
      </c>
      <c r="E29" s="11">
        <f>IF($A29="","",MAX(0,(Financier!V29*0.4)+(Financier!S29*0.2)+(Operationnel!K29*0.2)-(IFERROR(Risque!B29/Financier!I29,0)*0.2)))</f>
        <v/>
      </c>
      <c r="F29" s="12">
        <f>IF($A29="","",ROUND(Social!B29*MAX(0,MIN(0.45,E29))*0.28,0))</f>
        <v/>
      </c>
      <c r="G29" s="12">
        <f>IF($A29="","",ROUND(Risque!B29*0.35,0))</f>
        <v/>
      </c>
    </row>
    <row r="30" ht="22" customHeight="1">
      <c r="A30" s="9" t="n">
        <v>46223</v>
      </c>
      <c r="B30" s="10" t="n">
        <v>0</v>
      </c>
      <c r="C30" s="10" t="n">
        <v>0</v>
      </c>
      <c r="D30" s="10" t="n">
        <v>0</v>
      </c>
      <c r="E30" s="11">
        <f>IF($A30="","",MAX(0,(Financier!V30*0.4)+(Financier!S30*0.2)+(Operationnel!K30*0.2)-(IFERROR(Risque!B30/Financier!I30,0)*0.2)))</f>
        <v/>
      </c>
      <c r="F30" s="12">
        <f>IF($A30="","",ROUND(Social!B30*MAX(0,MIN(0.45,E30))*0.28,0))</f>
        <v/>
      </c>
      <c r="G30" s="12">
        <f>IF($A30="","",ROUND(Risque!B30*0.35,0))</f>
        <v/>
      </c>
    </row>
    <row r="31" ht="22" customHeight="1">
      <c r="A31" s="9" t="n">
        <v>46230</v>
      </c>
      <c r="B31" s="10" t="n">
        <v>0</v>
      </c>
      <c r="C31" s="10" t="n">
        <v>0</v>
      </c>
      <c r="D31" s="10" t="n">
        <v>0</v>
      </c>
      <c r="E31" s="11">
        <f>IF($A31="","",MAX(0,(Financier!V31*0.4)+(Financier!S31*0.2)+(Operationnel!K31*0.2)-(IFERROR(Risque!B31/Financier!I31,0)*0.2)))</f>
        <v/>
      </c>
      <c r="F31" s="12">
        <f>IF($A31="","",ROUND(Social!B31*MAX(0,MIN(0.45,E31))*0.28,0))</f>
        <v/>
      </c>
      <c r="G31" s="12">
        <f>IF($A31="","",ROUND(Risque!B31*0.35,0))</f>
        <v/>
      </c>
    </row>
    <row r="32" ht="22" customHeight="1">
      <c r="A32" s="9" t="n">
        <v>46237</v>
      </c>
      <c r="B32" s="10" t="n">
        <v>0</v>
      </c>
      <c r="C32" s="10" t="n">
        <v>0</v>
      </c>
      <c r="D32" s="10" t="n">
        <v>0</v>
      </c>
      <c r="E32" s="11">
        <f>IF($A32="","",MAX(0,(Financier!V32*0.4)+(Financier!S32*0.2)+(Operationnel!K32*0.2)-(IFERROR(Risque!B32/Financier!I32,0)*0.2)))</f>
        <v/>
      </c>
      <c r="F32" s="12">
        <f>IF($A32="","",ROUND(Social!B32*MAX(0,MIN(0.45,E32))*0.28,0))</f>
        <v/>
      </c>
      <c r="G32" s="12">
        <f>IF($A32="","",ROUND(Risque!B32*0.35,0))</f>
        <v/>
      </c>
    </row>
    <row r="33" ht="22" customHeight="1">
      <c r="A33" s="9" t="n">
        <v>46244</v>
      </c>
      <c r="B33" s="10" t="n">
        <v>0</v>
      </c>
      <c r="C33" s="10" t="n">
        <v>0</v>
      </c>
      <c r="D33" s="10" t="n">
        <v>0</v>
      </c>
      <c r="E33" s="11">
        <f>IF($A33="","",MAX(0,(Financier!V33*0.4)+(Financier!S33*0.2)+(Operationnel!K33*0.2)-(IFERROR(Risque!B33/Financier!I33,0)*0.2)))</f>
        <v/>
      </c>
      <c r="F33" s="12">
        <f>IF($A33="","",ROUND(Social!B33*MAX(0,MIN(0.45,E33))*0.28,0))</f>
        <v/>
      </c>
      <c r="G33" s="12">
        <f>IF($A33="","",ROUND(Risque!B33*0.35,0))</f>
        <v/>
      </c>
    </row>
    <row r="34" ht="22" customHeight="1">
      <c r="A34" s="9" t="n">
        <v>46251</v>
      </c>
      <c r="B34" s="10" t="n">
        <v>0</v>
      </c>
      <c r="C34" s="10" t="n">
        <v>0</v>
      </c>
      <c r="D34" s="10" t="n">
        <v>0</v>
      </c>
      <c r="E34" s="11">
        <f>IF($A34="","",MAX(0,(Financier!V34*0.4)+(Financier!S34*0.2)+(Operationnel!K34*0.2)-(IFERROR(Risque!B34/Financier!I34,0)*0.2)))</f>
        <v/>
      </c>
      <c r="F34" s="12">
        <f>IF($A34="","",ROUND(Social!B34*MAX(0,MIN(0.45,E34))*0.28,0))</f>
        <v/>
      </c>
      <c r="G34" s="12">
        <f>IF($A34="","",ROUND(Risque!B34*0.35,0))</f>
        <v/>
      </c>
    </row>
    <row r="35" ht="22" customHeight="1">
      <c r="A35" s="9" t="n">
        <v>46258</v>
      </c>
      <c r="B35" s="10" t="n">
        <v>0</v>
      </c>
      <c r="C35" s="10" t="n">
        <v>0</v>
      </c>
      <c r="D35" s="10" t="n">
        <v>0</v>
      </c>
      <c r="E35" s="11">
        <f>IF($A35="","",MAX(0,(Financier!V35*0.4)+(Financier!S35*0.2)+(Operationnel!K35*0.2)-(IFERROR(Risque!B35/Financier!I35,0)*0.2)))</f>
        <v/>
      </c>
      <c r="F35" s="12">
        <f>IF($A35="","",ROUND(Social!B35*MAX(0,MIN(0.45,E35))*0.28,0))</f>
        <v/>
      </c>
      <c r="G35" s="12">
        <f>IF($A35="","",ROUND(Risque!B35*0.35,0))</f>
        <v/>
      </c>
    </row>
    <row r="36" ht="22" customHeight="1">
      <c r="A36" s="9" t="n">
        <v>46265</v>
      </c>
      <c r="B36" s="10" t="n">
        <v>0</v>
      </c>
      <c r="C36" s="10" t="n">
        <v>0</v>
      </c>
      <c r="D36" s="10" t="n">
        <v>0</v>
      </c>
      <c r="E36" s="11">
        <f>IF($A36="","",MAX(0,(Financier!V36*0.4)+(Financier!S36*0.2)+(Operationnel!K36*0.2)-(IFERROR(Risque!B36/Financier!I36,0)*0.2)))</f>
        <v/>
      </c>
      <c r="F36" s="12">
        <f>IF($A36="","",ROUND(Social!B36*MAX(0,MIN(0.45,E36))*0.28,0))</f>
        <v/>
      </c>
      <c r="G36" s="12">
        <f>IF($A36="","",ROUND(Risque!B36*0.35,0))</f>
        <v/>
      </c>
    </row>
    <row r="37" ht="22" customHeight="1">
      <c r="A37" s="9" t="n">
        <v>46272</v>
      </c>
      <c r="B37" s="10" t="n">
        <v>0</v>
      </c>
      <c r="C37" s="10" t="n">
        <v>0</v>
      </c>
      <c r="D37" s="10" t="n">
        <v>0</v>
      </c>
      <c r="E37" s="11">
        <f>IF($A37="","",MAX(0,(Financier!V37*0.4)+(Financier!S37*0.2)+(Operationnel!K37*0.2)-(IFERROR(Risque!B37/Financier!I37,0)*0.2)))</f>
        <v/>
      </c>
      <c r="F37" s="12">
        <f>IF($A37="","",ROUND(Social!B37*MAX(0,MIN(0.45,E37))*0.28,0))</f>
        <v/>
      </c>
      <c r="G37" s="12">
        <f>IF($A37="","",ROUND(Risque!B37*0.35,0))</f>
        <v/>
      </c>
    </row>
    <row r="38" ht="22" customHeight="1">
      <c r="A38" s="9" t="n">
        <v>46279</v>
      </c>
      <c r="B38" s="10" t="n">
        <v>0</v>
      </c>
      <c r="C38" s="10" t="n">
        <v>0</v>
      </c>
      <c r="D38" s="10" t="n">
        <v>0</v>
      </c>
      <c r="E38" s="11">
        <f>IF($A38="","",MAX(0,(Financier!V38*0.4)+(Financier!S38*0.2)+(Operationnel!K38*0.2)-(IFERROR(Risque!B38/Financier!I38,0)*0.2)))</f>
        <v/>
      </c>
      <c r="F38" s="12">
        <f>IF($A38="","",ROUND(Social!B38*MAX(0,MIN(0.45,E38))*0.28,0))</f>
        <v/>
      </c>
      <c r="G38" s="12">
        <f>IF($A38="","",ROUND(Risque!B38*0.35,0))</f>
        <v/>
      </c>
    </row>
    <row r="39" ht="22" customHeight="1">
      <c r="A39" s="9" t="n">
        <v>46286</v>
      </c>
      <c r="B39" s="10" t="n">
        <v>0</v>
      </c>
      <c r="C39" s="10" t="n">
        <v>0</v>
      </c>
      <c r="D39" s="10" t="n">
        <v>0</v>
      </c>
      <c r="E39" s="11">
        <f>IF($A39="","",MAX(0,(Financier!V39*0.4)+(Financier!S39*0.2)+(Operationnel!K39*0.2)-(IFERROR(Risque!B39/Financier!I39,0)*0.2)))</f>
        <v/>
      </c>
      <c r="F39" s="12">
        <f>IF($A39="","",ROUND(Social!B39*MAX(0,MIN(0.45,E39))*0.28,0))</f>
        <v/>
      </c>
      <c r="G39" s="12">
        <f>IF($A39="","",ROUND(Risque!B39*0.35,0))</f>
        <v/>
      </c>
    </row>
    <row r="40" ht="22" customHeight="1">
      <c r="A40" s="9" t="n">
        <v>46293</v>
      </c>
      <c r="B40" s="10" t="n">
        <v>0</v>
      </c>
      <c r="C40" s="10" t="n">
        <v>0</v>
      </c>
      <c r="D40" s="10" t="n">
        <v>0</v>
      </c>
      <c r="E40" s="11">
        <f>IF($A40="","",MAX(0,(Financier!V40*0.4)+(Financier!S40*0.2)+(Operationnel!K40*0.2)-(IFERROR(Risque!B40/Financier!I40,0)*0.2)))</f>
        <v/>
      </c>
      <c r="F40" s="12">
        <f>IF($A40="","",ROUND(Social!B40*MAX(0,MIN(0.45,E40))*0.28,0))</f>
        <v/>
      </c>
      <c r="G40" s="12">
        <f>IF($A40="","",ROUND(Risque!B40*0.35,0))</f>
        <v/>
      </c>
    </row>
    <row r="41" ht="22" customHeight="1">
      <c r="A41" s="9" t="n">
        <v>46300</v>
      </c>
      <c r="B41" s="10" t="n">
        <v>0</v>
      </c>
      <c r="C41" s="10" t="n">
        <v>0</v>
      </c>
      <c r="D41" s="10" t="n">
        <v>0</v>
      </c>
      <c r="E41" s="11">
        <f>IF($A41="","",MAX(0,(Financier!V41*0.4)+(Financier!S41*0.2)+(Operationnel!K41*0.2)-(IFERROR(Risque!B41/Financier!I41,0)*0.2)))</f>
        <v/>
      </c>
      <c r="F41" s="12">
        <f>IF($A41="","",ROUND(Social!B41*MAX(0,MIN(0.45,E41))*0.28,0))</f>
        <v/>
      </c>
      <c r="G41" s="12">
        <f>IF($A41="","",ROUND(Risque!B41*0.35,0))</f>
        <v/>
      </c>
    </row>
    <row r="42" ht="22" customHeight="1">
      <c r="A42" s="9" t="n">
        <v>46307</v>
      </c>
      <c r="B42" s="10" t="n">
        <v>0</v>
      </c>
      <c r="C42" s="10" t="n">
        <v>0</v>
      </c>
      <c r="D42" s="10" t="n">
        <v>0</v>
      </c>
      <c r="E42" s="11">
        <f>IF($A42="","",MAX(0,(Financier!V42*0.4)+(Financier!S42*0.2)+(Operationnel!K42*0.2)-(IFERROR(Risque!B42/Financier!I42,0)*0.2)))</f>
        <v/>
      </c>
      <c r="F42" s="12">
        <f>IF($A42="","",ROUND(Social!B42*MAX(0,MIN(0.45,E42))*0.28,0))</f>
        <v/>
      </c>
      <c r="G42" s="12">
        <f>IF($A42="","",ROUND(Risque!B42*0.35,0))</f>
        <v/>
      </c>
    </row>
    <row r="43" ht="22" customHeight="1">
      <c r="A43" s="9" t="n">
        <v>46314</v>
      </c>
      <c r="B43" s="10" t="n">
        <v>0</v>
      </c>
      <c r="C43" s="10" t="n">
        <v>0</v>
      </c>
      <c r="D43" s="10" t="n">
        <v>0</v>
      </c>
      <c r="E43" s="11">
        <f>IF($A43="","",MAX(0,(Financier!V43*0.4)+(Financier!S43*0.2)+(Operationnel!K43*0.2)-(IFERROR(Risque!B43/Financier!I43,0)*0.2)))</f>
        <v/>
      </c>
      <c r="F43" s="12">
        <f>IF($A43="","",ROUND(Social!B43*MAX(0,MIN(0.45,E43))*0.28,0))</f>
        <v/>
      </c>
      <c r="G43" s="12">
        <f>IF($A43="","",ROUND(Risque!B43*0.35,0))</f>
        <v/>
      </c>
    </row>
    <row r="44" ht="22" customHeight="1">
      <c r="A44" s="9" t="n">
        <v>46321</v>
      </c>
      <c r="B44" s="10" t="n">
        <v>0</v>
      </c>
      <c r="C44" s="10" t="n">
        <v>0</v>
      </c>
      <c r="D44" s="10" t="n">
        <v>0</v>
      </c>
      <c r="E44" s="11">
        <f>IF($A44="","",MAX(0,(Financier!V44*0.4)+(Financier!S44*0.2)+(Operationnel!K44*0.2)-(IFERROR(Risque!B44/Financier!I44,0)*0.2)))</f>
        <v/>
      </c>
      <c r="F44" s="12">
        <f>IF($A44="","",ROUND(Social!B44*MAX(0,MIN(0.45,E44))*0.28,0))</f>
        <v/>
      </c>
      <c r="G44" s="12">
        <f>IF($A44="","",ROUND(Risque!B44*0.35,0))</f>
        <v/>
      </c>
    </row>
    <row r="45" ht="22" customHeight="1">
      <c r="A45" s="9" t="n">
        <v>46328</v>
      </c>
      <c r="B45" s="10" t="n">
        <v>0</v>
      </c>
      <c r="C45" s="10" t="n">
        <v>0</v>
      </c>
      <c r="D45" s="10" t="n">
        <v>0</v>
      </c>
      <c r="E45" s="11">
        <f>IF($A45="","",MAX(0,(Financier!V45*0.4)+(Financier!S45*0.2)+(Operationnel!K45*0.2)-(IFERROR(Risque!B45/Financier!I45,0)*0.2)))</f>
        <v/>
      </c>
      <c r="F45" s="12">
        <f>IF($A45="","",ROUND(Social!B45*MAX(0,MIN(0.45,E45))*0.28,0))</f>
        <v/>
      </c>
      <c r="G45" s="12">
        <f>IF($A45="","",ROUND(Risque!B45*0.35,0))</f>
        <v/>
      </c>
    </row>
    <row r="46" ht="22" customHeight="1">
      <c r="A46" s="9" t="n">
        <v>46335</v>
      </c>
      <c r="B46" s="10" t="n">
        <v>0</v>
      </c>
      <c r="C46" s="10" t="n">
        <v>0</v>
      </c>
      <c r="D46" s="10" t="n">
        <v>0</v>
      </c>
      <c r="E46" s="11">
        <f>IF($A46="","",MAX(0,(Financier!V46*0.4)+(Financier!S46*0.2)+(Operationnel!K46*0.2)-(IFERROR(Risque!B46/Financier!I46,0)*0.2)))</f>
        <v/>
      </c>
      <c r="F46" s="12">
        <f>IF($A46="","",ROUND(Social!B46*MAX(0,MIN(0.45,E46))*0.28,0))</f>
        <v/>
      </c>
      <c r="G46" s="12">
        <f>IF($A46="","",ROUND(Risque!B46*0.35,0))</f>
        <v/>
      </c>
    </row>
    <row r="47" ht="22" customHeight="1">
      <c r="A47" s="9" t="n">
        <v>46342</v>
      </c>
      <c r="B47" s="10" t="n">
        <v>0</v>
      </c>
      <c r="C47" s="10" t="n">
        <v>0</v>
      </c>
      <c r="D47" s="10" t="n">
        <v>0</v>
      </c>
      <c r="E47" s="11">
        <f>IF($A47="","",MAX(0,(Financier!V47*0.4)+(Financier!S47*0.2)+(Operationnel!K47*0.2)-(IFERROR(Risque!B47/Financier!I47,0)*0.2)))</f>
        <v/>
      </c>
      <c r="F47" s="12">
        <f>IF($A47="","",ROUND(Social!B47*MAX(0,MIN(0.45,E47))*0.28,0))</f>
        <v/>
      </c>
      <c r="G47" s="12">
        <f>IF($A47="","",ROUND(Risque!B47*0.35,0))</f>
        <v/>
      </c>
    </row>
    <row r="48" ht="22" customHeight="1">
      <c r="A48" s="9" t="n">
        <v>46349</v>
      </c>
      <c r="B48" s="10" t="n">
        <v>0</v>
      </c>
      <c r="C48" s="10" t="n">
        <v>0</v>
      </c>
      <c r="D48" s="10" t="n">
        <v>0</v>
      </c>
      <c r="E48" s="11">
        <f>IF($A48="","",MAX(0,(Financier!V48*0.4)+(Financier!S48*0.2)+(Operationnel!K48*0.2)-(IFERROR(Risque!B48/Financier!I48,0)*0.2)))</f>
        <v/>
      </c>
      <c r="F48" s="12">
        <f>IF($A48="","",ROUND(Social!B48*MAX(0,MIN(0.45,E48))*0.28,0))</f>
        <v/>
      </c>
      <c r="G48" s="12">
        <f>IF($A48="","",ROUND(Risque!B48*0.35,0))</f>
        <v/>
      </c>
    </row>
    <row r="49" ht="22" customHeight="1">
      <c r="A49" s="9" t="n">
        <v>46356</v>
      </c>
      <c r="B49" s="10" t="n">
        <v>0</v>
      </c>
      <c r="C49" s="10" t="n">
        <v>0</v>
      </c>
      <c r="D49" s="10" t="n">
        <v>0</v>
      </c>
      <c r="E49" s="11">
        <f>IF($A49="","",MAX(0,(Financier!V49*0.4)+(Financier!S49*0.2)+(Operationnel!K49*0.2)-(IFERROR(Risque!B49/Financier!I49,0)*0.2)))</f>
        <v/>
      </c>
      <c r="F49" s="12">
        <f>IF($A49="","",ROUND(Social!B49*MAX(0,MIN(0.45,E49))*0.28,0))</f>
        <v/>
      </c>
      <c r="G49" s="12">
        <f>IF($A49="","",ROUND(Risque!B49*0.35,0))</f>
        <v/>
      </c>
    </row>
    <row r="50" ht="22" customHeight="1">
      <c r="A50" s="9" t="n">
        <v>46363</v>
      </c>
      <c r="B50" s="10" t="n">
        <v>0</v>
      </c>
      <c r="C50" s="10" t="n">
        <v>0</v>
      </c>
      <c r="D50" s="10" t="n">
        <v>0</v>
      </c>
      <c r="E50" s="11">
        <f>IF($A50="","",MAX(0,(Financier!V50*0.4)+(Financier!S50*0.2)+(Operationnel!K50*0.2)-(IFERROR(Risque!B50/Financier!I50,0)*0.2)))</f>
        <v/>
      </c>
      <c r="F50" s="12">
        <f>IF($A50="","",ROUND(Social!B50*MAX(0,MIN(0.45,E50))*0.28,0))</f>
        <v/>
      </c>
      <c r="G50" s="12">
        <f>IF($A50="","",ROUND(Risque!B50*0.35,0))</f>
        <v/>
      </c>
    </row>
    <row r="51" ht="22" customHeight="1">
      <c r="A51" s="9" t="n">
        <v>46370</v>
      </c>
      <c r="B51" s="10" t="n">
        <v>0</v>
      </c>
      <c r="C51" s="10" t="n">
        <v>0</v>
      </c>
      <c r="D51" s="10" t="n">
        <v>0</v>
      </c>
      <c r="E51" s="11">
        <f>IF($A51="","",MAX(0,(Financier!V51*0.4)+(Financier!S51*0.2)+(Operationnel!K51*0.2)-(IFERROR(Risque!B51/Financier!I51,0)*0.2)))</f>
        <v/>
      </c>
      <c r="F51" s="12">
        <f>IF($A51="","",ROUND(Social!B51*MAX(0,MIN(0.45,E51))*0.28,0))</f>
        <v/>
      </c>
      <c r="G51" s="12">
        <f>IF($A51="","",ROUND(Risque!B51*0.35,0))</f>
        <v/>
      </c>
    </row>
    <row r="52" ht="22" customHeight="1">
      <c r="A52" s="9" t="n">
        <v>46377</v>
      </c>
      <c r="B52" s="10" t="n">
        <v>0</v>
      </c>
      <c r="C52" s="10" t="n">
        <v>0</v>
      </c>
      <c r="D52" s="10" t="n">
        <v>0</v>
      </c>
      <c r="E52" s="11">
        <f>IF($A52="","",MAX(0,(Financier!V52*0.4)+(Financier!S52*0.2)+(Operationnel!K52*0.2)-(IFERROR(Risque!B52/Financier!I52,0)*0.2)))</f>
        <v/>
      </c>
      <c r="F52" s="12">
        <f>IF($A52="","",ROUND(Social!B52*MAX(0,MIN(0.45,E52))*0.28,0))</f>
        <v/>
      </c>
      <c r="G52" s="12">
        <f>IF($A52="","",ROUND(Risque!B52*0.35,0))</f>
        <v/>
      </c>
    </row>
    <row r="53" ht="22" customHeight="1">
      <c r="A53" s="9" t="n">
        <v>46384</v>
      </c>
      <c r="B53" s="10" t="n">
        <v>0</v>
      </c>
      <c r="C53" s="10" t="n">
        <v>0</v>
      </c>
      <c r="D53" s="10" t="n">
        <v>0</v>
      </c>
      <c r="E53" s="11">
        <f>IF($A53="","",MAX(0,(Financier!V53*0.4)+(Financier!S53*0.2)+(Operationnel!K53*0.2)-(IFERROR(Risque!B53/Financier!I53,0)*0.2)))</f>
        <v/>
      </c>
      <c r="F53" s="12">
        <f>IF($A53="","",ROUND(Social!B53*MAX(0,MIN(0.45,E53))*0.28,0))</f>
        <v/>
      </c>
      <c r="G53" s="12">
        <f>IF($A53="","",ROUND(Risque!B53*0.35,0))</f>
        <v/>
      </c>
    </row>
    <row r="54" ht="22" customHeight="1">
      <c r="A54" s="9" t="n">
        <v>46391</v>
      </c>
      <c r="B54" s="10" t="n">
        <v>0</v>
      </c>
      <c r="C54" s="10" t="n">
        <v>0</v>
      </c>
      <c r="D54" s="10" t="n">
        <v>0</v>
      </c>
      <c r="E54" s="11">
        <f>IF($A54="","",MAX(0,(Financier!V54*0.4)+(Financier!S54*0.2)+(Operationnel!K54*0.2)-(IFERROR(Risque!B54/Financier!I54,0)*0.2)))</f>
        <v/>
      </c>
      <c r="F54" s="12">
        <f>IF($A54="","",ROUND(Social!B54*MAX(0,MIN(0.45,E54))*0.28,0))</f>
        <v/>
      </c>
      <c r="G54" s="12">
        <f>IF($A54="","",ROUND(Risque!B54*0.35,0))</f>
        <v/>
      </c>
    </row>
    <row r="55" ht="22" customHeight="1">
      <c r="A55" s="9" t="n">
        <v>46398</v>
      </c>
      <c r="B55" s="10" t="n">
        <v>0</v>
      </c>
      <c r="C55" s="10" t="n">
        <v>0</v>
      </c>
      <c r="D55" s="10" t="n">
        <v>0</v>
      </c>
      <c r="E55" s="11">
        <f>IF($A55="","",MAX(0,(Financier!V55*0.4)+(Financier!S55*0.2)+(Operationnel!K55*0.2)-(IFERROR(Risque!B55/Financier!I55,0)*0.2)))</f>
        <v/>
      </c>
      <c r="F55" s="12">
        <f>IF($A55="","",ROUND(Social!B55*MAX(0,MIN(0.45,E55))*0.28,0))</f>
        <v/>
      </c>
      <c r="G55" s="12">
        <f>IF($A55="","",ROUND(Risque!B55*0.35,0))</f>
        <v/>
      </c>
    </row>
    <row r="56" ht="22" customHeight="1">
      <c r="A56" s="9" t="n">
        <v>46405</v>
      </c>
      <c r="B56" s="10" t="n">
        <v>0</v>
      </c>
      <c r="C56" s="10" t="n">
        <v>0</v>
      </c>
      <c r="D56" s="10" t="n">
        <v>0</v>
      </c>
      <c r="E56" s="11">
        <f>IF($A56="","",MAX(0,(Financier!V56*0.4)+(Financier!S56*0.2)+(Operationnel!K56*0.2)-(IFERROR(Risque!B56/Financier!I56,0)*0.2)))</f>
        <v/>
      </c>
      <c r="F56" s="12">
        <f>IF($A56="","",ROUND(Social!B56*MAX(0,MIN(0.45,E56))*0.28,0))</f>
        <v/>
      </c>
      <c r="G56" s="12">
        <f>IF($A56="","",ROUND(Risque!B56*0.35,0))</f>
        <v/>
      </c>
    </row>
    <row r="57" ht="22" customHeight="1">
      <c r="A57" s="9" t="n">
        <v>46412</v>
      </c>
      <c r="B57" s="10" t="n">
        <v>0</v>
      </c>
      <c r="C57" s="10" t="n">
        <v>0</v>
      </c>
      <c r="D57" s="10" t="n">
        <v>0</v>
      </c>
      <c r="E57" s="11">
        <f>IF($A57="","",MAX(0,(Financier!V57*0.4)+(Financier!S57*0.2)+(Operationnel!K57*0.2)-(IFERROR(Risque!B57/Financier!I57,0)*0.2)))</f>
        <v/>
      </c>
      <c r="F57" s="12">
        <f>IF($A57="","",ROUND(Social!B57*MAX(0,MIN(0.45,E57))*0.28,0))</f>
        <v/>
      </c>
      <c r="G57" s="12">
        <f>IF($A57="","",ROUND(Risque!B57*0.35,0))</f>
        <v/>
      </c>
    </row>
    <row r="58" ht="22" customHeight="1">
      <c r="A58" s="9" t="n">
        <v>46419</v>
      </c>
      <c r="B58" s="10" t="n">
        <v>0</v>
      </c>
      <c r="C58" s="10" t="n">
        <v>0</v>
      </c>
      <c r="D58" s="10" t="n">
        <v>0</v>
      </c>
      <c r="E58" s="11">
        <f>IF($A58="","",MAX(0,(Financier!V58*0.4)+(Financier!S58*0.2)+(Operationnel!K58*0.2)-(IFERROR(Risque!B58/Financier!I58,0)*0.2)))</f>
        <v/>
      </c>
      <c r="F58" s="12">
        <f>IF($A58="","",ROUND(Social!B58*MAX(0,MIN(0.45,E58))*0.28,0))</f>
        <v/>
      </c>
      <c r="G58" s="12">
        <f>IF($A58="","",ROUND(Risque!B58*0.35,0))</f>
        <v/>
      </c>
    </row>
    <row r="59" ht="22" customHeight="1">
      <c r="A59" s="9" t="n">
        <v>46426</v>
      </c>
      <c r="B59" s="10" t="n">
        <v>0</v>
      </c>
      <c r="C59" s="10" t="n">
        <v>0</v>
      </c>
      <c r="D59" s="10" t="n">
        <v>0</v>
      </c>
      <c r="E59" s="11">
        <f>IF($A59="","",MAX(0,(Financier!V59*0.4)+(Financier!S59*0.2)+(Operationnel!K59*0.2)-(IFERROR(Risque!B59/Financier!I59,0)*0.2)))</f>
        <v/>
      </c>
      <c r="F59" s="12">
        <f>IF($A59="","",ROUND(Social!B59*MAX(0,MIN(0.45,E59))*0.28,0))</f>
        <v/>
      </c>
      <c r="G59" s="12">
        <f>IF($A59="","",ROUND(Risque!B59*0.35,0))</f>
        <v/>
      </c>
    </row>
    <row r="60" ht="22" customHeight="1">
      <c r="A60" s="9" t="n">
        <v>46433</v>
      </c>
      <c r="B60" s="10" t="n">
        <v>0</v>
      </c>
      <c r="C60" s="10" t="n">
        <v>0</v>
      </c>
      <c r="D60" s="10" t="n">
        <v>0</v>
      </c>
      <c r="E60" s="11">
        <f>IF($A60="","",MAX(0,(Financier!V60*0.4)+(Financier!S60*0.2)+(Operationnel!K60*0.2)-(IFERROR(Risque!B60/Financier!I60,0)*0.2)))</f>
        <v/>
      </c>
      <c r="F60" s="12">
        <f>IF($A60="","",ROUND(Social!B60*MAX(0,MIN(0.45,E60))*0.28,0))</f>
        <v/>
      </c>
      <c r="G60" s="12">
        <f>IF($A60="","",ROUND(Risque!B60*0.35,0))</f>
        <v/>
      </c>
    </row>
    <row r="61" ht="22" customHeight="1">
      <c r="A61" s="9" t="n">
        <v>46440</v>
      </c>
      <c r="B61" s="10" t="n">
        <v>0</v>
      </c>
      <c r="C61" s="10" t="n">
        <v>0</v>
      </c>
      <c r="D61" s="10" t="n">
        <v>0</v>
      </c>
      <c r="E61" s="11">
        <f>IF($A61="","",MAX(0,(Financier!V61*0.4)+(Financier!S61*0.2)+(Operationnel!K61*0.2)-(IFERROR(Risque!B61/Financier!I61,0)*0.2)))</f>
        <v/>
      </c>
      <c r="F61" s="12">
        <f>IF($A61="","",ROUND(Social!B61*MAX(0,MIN(0.45,E61))*0.28,0))</f>
        <v/>
      </c>
      <c r="G61" s="12">
        <f>IF($A61="","",ROUND(Risque!B61*0.35,0))</f>
        <v/>
      </c>
    </row>
    <row r="62" ht="22" customHeight="1">
      <c r="A62" s="9" t="n">
        <v>46447</v>
      </c>
      <c r="B62" s="10" t="n">
        <v>0</v>
      </c>
      <c r="C62" s="10" t="n">
        <v>0</v>
      </c>
      <c r="D62" s="10" t="n">
        <v>0</v>
      </c>
      <c r="E62" s="11">
        <f>IF($A62="","",MAX(0,(Financier!V62*0.4)+(Financier!S62*0.2)+(Operationnel!K62*0.2)-(IFERROR(Risque!B62/Financier!I62,0)*0.2)))</f>
        <v/>
      </c>
      <c r="F62" s="12">
        <f>IF($A62="","",ROUND(Social!B62*MAX(0,MIN(0.45,E62))*0.28,0))</f>
        <v/>
      </c>
      <c r="G62" s="12">
        <f>IF($A62="","",ROUND(Risque!B62*0.35,0))</f>
        <v/>
      </c>
    </row>
    <row r="63" ht="22" customHeight="1">
      <c r="A63" s="9" t="n">
        <v>46454</v>
      </c>
      <c r="B63" s="10" t="n">
        <v>0</v>
      </c>
      <c r="C63" s="10" t="n">
        <v>0</v>
      </c>
      <c r="D63" s="10" t="n">
        <v>0</v>
      </c>
      <c r="E63" s="11">
        <f>IF($A63="","",MAX(0,(Financier!V63*0.4)+(Financier!S63*0.2)+(Operationnel!K63*0.2)-(IFERROR(Risque!B63/Financier!I63,0)*0.2)))</f>
        <v/>
      </c>
      <c r="F63" s="12">
        <f>IF($A63="","",ROUND(Social!B63*MAX(0,MIN(0.45,E63))*0.28,0))</f>
        <v/>
      </c>
      <c r="G63" s="12">
        <f>IF($A63="","",ROUND(Risque!B63*0.35,0))</f>
        <v/>
      </c>
    </row>
    <row r="64" ht="22" customHeight="1">
      <c r="A64" s="9" t="n">
        <v>46461</v>
      </c>
      <c r="B64" s="10" t="n">
        <v>0</v>
      </c>
      <c r="C64" s="10" t="n">
        <v>0</v>
      </c>
      <c r="D64" s="10" t="n">
        <v>0</v>
      </c>
      <c r="E64" s="11">
        <f>IF($A64="","",MAX(0,(Financier!V64*0.4)+(Financier!S64*0.2)+(Operationnel!K64*0.2)-(IFERROR(Risque!B64/Financier!I64,0)*0.2)))</f>
        <v/>
      </c>
      <c r="F64" s="12">
        <f>IF($A64="","",ROUND(Social!B64*MAX(0,MIN(0.45,E64))*0.28,0))</f>
        <v/>
      </c>
      <c r="G64" s="12">
        <f>IF($A64="","",ROUND(Risque!B64*0.35,0))</f>
        <v/>
      </c>
    </row>
    <row r="65" ht="22" customHeight="1">
      <c r="A65" s="9" t="n">
        <v>46468</v>
      </c>
      <c r="B65" s="10" t="n">
        <v>0</v>
      </c>
      <c r="C65" s="10" t="n">
        <v>0</v>
      </c>
      <c r="D65" s="10" t="n">
        <v>0</v>
      </c>
      <c r="E65" s="11">
        <f>IF($A65="","",MAX(0,(Financier!V65*0.4)+(Financier!S65*0.2)+(Operationnel!K65*0.2)-(IFERROR(Risque!B65/Financier!I65,0)*0.2)))</f>
        <v/>
      </c>
      <c r="F65" s="12">
        <f>IF($A65="","",ROUND(Social!B65*MAX(0,MIN(0.45,E65))*0.28,0))</f>
        <v/>
      </c>
      <c r="G65" s="12">
        <f>IF($A65="","",ROUND(Risque!B65*0.35,0))</f>
        <v/>
      </c>
    </row>
    <row r="66" ht="22" customHeight="1">
      <c r="A66" s="9" t="n">
        <v>46475</v>
      </c>
      <c r="B66" s="10" t="n">
        <v>0</v>
      </c>
      <c r="C66" s="10" t="n">
        <v>0</v>
      </c>
      <c r="D66" s="10" t="n">
        <v>0</v>
      </c>
      <c r="E66" s="11">
        <f>IF($A66="","",MAX(0,(Financier!V66*0.4)+(Financier!S66*0.2)+(Operationnel!K66*0.2)-(IFERROR(Risque!B66/Financier!I66,0)*0.2)))</f>
        <v/>
      </c>
      <c r="F66" s="12">
        <f>IF($A66="","",ROUND(Social!B66*MAX(0,MIN(0.45,E66))*0.28,0))</f>
        <v/>
      </c>
      <c r="G66" s="12">
        <f>IF($A66="","",ROUND(Risque!B66*0.35,0))</f>
        <v/>
      </c>
    </row>
    <row r="67" ht="22" customHeight="1">
      <c r="A67" s="9" t="n">
        <v>46482</v>
      </c>
      <c r="B67" s="10" t="n">
        <v>0</v>
      </c>
      <c r="C67" s="10" t="n">
        <v>0</v>
      </c>
      <c r="D67" s="10" t="n">
        <v>0</v>
      </c>
      <c r="E67" s="11">
        <f>IF($A67="","",MAX(0,(Financier!V67*0.4)+(Financier!S67*0.2)+(Operationnel!K67*0.2)-(IFERROR(Risque!B67/Financier!I67,0)*0.2)))</f>
        <v/>
      </c>
      <c r="F67" s="12">
        <f>IF($A67="","",ROUND(Social!B67*MAX(0,MIN(0.45,E67))*0.28,0))</f>
        <v/>
      </c>
      <c r="G67" s="12">
        <f>IF($A67="","",ROUND(Risque!B67*0.35,0))</f>
        <v/>
      </c>
    </row>
    <row r="68" ht="22" customHeight="1">
      <c r="A68" s="9" t="n">
        <v>46489</v>
      </c>
      <c r="B68" s="10" t="n">
        <v>0</v>
      </c>
      <c r="C68" s="10" t="n">
        <v>0</v>
      </c>
      <c r="D68" s="10" t="n">
        <v>0</v>
      </c>
      <c r="E68" s="11">
        <f>IF($A68="","",MAX(0,(Financier!V68*0.4)+(Financier!S68*0.2)+(Operationnel!K68*0.2)-(IFERROR(Risque!B68/Financier!I68,0)*0.2)))</f>
        <v/>
      </c>
      <c r="F68" s="12">
        <f>IF($A68="","",ROUND(Social!B68*MAX(0,MIN(0.45,E68))*0.28,0))</f>
        <v/>
      </c>
      <c r="G68" s="12">
        <f>IF($A68="","",ROUND(Risque!B68*0.35,0))</f>
        <v/>
      </c>
    </row>
    <row r="69" ht="22" customHeight="1">
      <c r="A69" s="9" t="n">
        <v>46496</v>
      </c>
      <c r="B69" s="10" t="n">
        <v>0</v>
      </c>
      <c r="C69" s="10" t="n">
        <v>0</v>
      </c>
      <c r="D69" s="10" t="n">
        <v>0</v>
      </c>
      <c r="E69" s="11">
        <f>IF($A69="","",MAX(0,(Financier!V69*0.4)+(Financier!S69*0.2)+(Operationnel!K69*0.2)-(IFERROR(Risque!B69/Financier!I69,0)*0.2)))</f>
        <v/>
      </c>
      <c r="F69" s="12">
        <f>IF($A69="","",ROUND(Social!B69*MAX(0,MIN(0.45,E69))*0.28,0))</f>
        <v/>
      </c>
      <c r="G69" s="12">
        <f>IF($A69="","",ROUND(Risque!B69*0.35,0))</f>
        <v/>
      </c>
    </row>
    <row r="70" ht="22" customHeight="1">
      <c r="A70" s="9" t="n">
        <v>46503</v>
      </c>
      <c r="B70" s="10" t="n">
        <v>0</v>
      </c>
      <c r="C70" s="10" t="n">
        <v>0</v>
      </c>
      <c r="D70" s="10" t="n">
        <v>0</v>
      </c>
      <c r="E70" s="11">
        <f>IF($A70="","",MAX(0,(Financier!V70*0.4)+(Financier!S70*0.2)+(Operationnel!K70*0.2)-(IFERROR(Risque!B70/Financier!I70,0)*0.2)))</f>
        <v/>
      </c>
      <c r="F70" s="12">
        <f>IF($A70="","",ROUND(Social!B70*MAX(0,MIN(0.45,E70))*0.28,0))</f>
        <v/>
      </c>
      <c r="G70" s="12">
        <f>IF($A70="","",ROUND(Risque!B70*0.35,0))</f>
        <v/>
      </c>
    </row>
    <row r="71" ht="22" customHeight="1">
      <c r="A71" s="9" t="n">
        <v>46510</v>
      </c>
      <c r="B71" s="10" t="n">
        <v>0</v>
      </c>
      <c r="C71" s="10" t="n">
        <v>0</v>
      </c>
      <c r="D71" s="10" t="n">
        <v>0</v>
      </c>
      <c r="E71" s="11">
        <f>IF($A71="","",MAX(0,(Financier!V71*0.4)+(Financier!S71*0.2)+(Operationnel!K71*0.2)-(IFERROR(Risque!B71/Financier!I71,0)*0.2)))</f>
        <v/>
      </c>
      <c r="F71" s="12">
        <f>IF($A71="","",ROUND(Social!B71*MAX(0,MIN(0.45,E71))*0.28,0))</f>
        <v/>
      </c>
      <c r="G71" s="12">
        <f>IF($A71="","",ROUND(Risque!B71*0.35,0))</f>
        <v/>
      </c>
    </row>
    <row r="72" ht="22" customHeight="1">
      <c r="A72" s="9" t="n"/>
      <c r="B72" s="10" t="n"/>
      <c r="C72" s="10" t="n"/>
      <c r="D72" s="10" t="n"/>
      <c r="E72" s="11">
        <f>IF($A72="","",MAX(0,(Financier!V72*0.4)+(Financier!S72*0.2)+(Operationnel!K72*0.2)-(IFERROR(Risque!B72/Financier!I72,0)*0.2)))</f>
        <v/>
      </c>
      <c r="F72" s="12">
        <f>IF($A72="","",ROUND(Social!B72*MAX(0,MIN(0.45,E72))*0.28,0))</f>
        <v/>
      </c>
      <c r="G72" s="12">
        <f>IF($A72="","",ROUND(Risque!B72*0.35,0))</f>
        <v/>
      </c>
    </row>
    <row r="73" ht="22" customHeight="1">
      <c r="A73" s="9" t="n"/>
      <c r="B73" s="10" t="n"/>
      <c r="C73" s="10" t="n"/>
      <c r="D73" s="10" t="n"/>
      <c r="E73" s="11">
        <f>IF($A73="","",MAX(0,(Financier!V73*0.4)+(Financier!S73*0.2)+(Operationnel!K73*0.2)-(IFERROR(Risque!B73/Financier!I73,0)*0.2)))</f>
        <v/>
      </c>
      <c r="F73" s="12">
        <f>IF($A73="","",ROUND(Social!B73*MAX(0,MIN(0.45,E73))*0.28,0))</f>
        <v/>
      </c>
      <c r="G73" s="12">
        <f>IF($A73="","",ROUND(Risque!B73*0.35,0))</f>
        <v/>
      </c>
    </row>
    <row r="74" ht="22" customHeight="1">
      <c r="A74" s="9" t="n"/>
      <c r="B74" s="10" t="n"/>
      <c r="C74" s="10" t="n"/>
      <c r="D74" s="10" t="n"/>
      <c r="E74" s="11">
        <f>IF($A74="","",MAX(0,(Financier!V74*0.4)+(Financier!S74*0.2)+(Operationnel!K74*0.2)-(IFERROR(Risque!B74/Financier!I74,0)*0.2)))</f>
        <v/>
      </c>
      <c r="F74" s="12">
        <f>IF($A74="","",ROUND(Social!B74*MAX(0,MIN(0.45,E74))*0.28,0))</f>
        <v/>
      </c>
      <c r="G74" s="12">
        <f>IF($A74="","",ROUND(Risque!B74*0.35,0))</f>
        <v/>
      </c>
    </row>
    <row r="75" ht="22" customHeight="1">
      <c r="A75" s="9" t="n"/>
      <c r="B75" s="10" t="n"/>
      <c r="C75" s="10" t="n"/>
      <c r="D75" s="10" t="n"/>
      <c r="E75" s="11">
        <f>IF($A75="","",MAX(0,(Financier!V75*0.4)+(Financier!S75*0.2)+(Operationnel!K75*0.2)-(IFERROR(Risque!B75/Financier!I75,0)*0.2)))</f>
        <v/>
      </c>
      <c r="F75" s="12">
        <f>IF($A75="","",ROUND(Social!B75*MAX(0,MIN(0.45,E75))*0.28,0))</f>
        <v/>
      </c>
      <c r="G75" s="12">
        <f>IF($A75="","",ROUND(Risque!B75*0.35,0))</f>
        <v/>
      </c>
    </row>
    <row r="76" ht="22" customHeight="1">
      <c r="A76" s="9" t="n"/>
      <c r="B76" s="10" t="n"/>
      <c r="C76" s="10" t="n"/>
      <c r="D76" s="10" t="n"/>
      <c r="E76" s="11">
        <f>IF($A76="","",MAX(0,(Financier!V76*0.4)+(Financier!S76*0.2)+(Operationnel!K76*0.2)-(IFERROR(Risque!B76/Financier!I76,0)*0.2)))</f>
        <v/>
      </c>
      <c r="F76" s="12">
        <f>IF($A76="","",ROUND(Social!B76*MAX(0,MIN(0.45,E76))*0.28,0))</f>
        <v/>
      </c>
      <c r="G76" s="12">
        <f>IF($A76="","",ROUND(Risque!B76*0.35,0))</f>
        <v/>
      </c>
    </row>
    <row r="77" ht="22" customHeight="1">
      <c r="A77" s="9" t="n"/>
      <c r="B77" s="10" t="n"/>
      <c r="C77" s="10" t="n"/>
      <c r="D77" s="10" t="n"/>
      <c r="E77" s="11">
        <f>IF($A77="","",MAX(0,(Financier!V77*0.4)+(Financier!S77*0.2)+(Operationnel!K77*0.2)-(IFERROR(Risque!B77/Financier!I77,0)*0.2)))</f>
        <v/>
      </c>
      <c r="F77" s="12">
        <f>IF($A77="","",ROUND(Social!B77*MAX(0,MIN(0.45,E77))*0.28,0))</f>
        <v/>
      </c>
      <c r="G77" s="12">
        <f>IF($A77="","",ROUND(Risque!B77*0.35,0))</f>
        <v/>
      </c>
    </row>
    <row r="78" ht="22" customHeight="1">
      <c r="A78" s="9" t="n"/>
      <c r="B78" s="10" t="n"/>
      <c r="C78" s="10" t="n"/>
      <c r="D78" s="10" t="n"/>
      <c r="E78" s="11">
        <f>IF($A78="","",MAX(0,(Financier!V78*0.4)+(Financier!S78*0.2)+(Operationnel!K78*0.2)-(IFERROR(Risque!B78/Financier!I78,0)*0.2)))</f>
        <v/>
      </c>
      <c r="F78" s="12">
        <f>IF($A78="","",ROUND(Social!B78*MAX(0,MIN(0.45,E78))*0.28,0))</f>
        <v/>
      </c>
      <c r="G78" s="12">
        <f>IF($A78="","",ROUND(Risque!B78*0.35,0))</f>
        <v/>
      </c>
    </row>
    <row r="79" ht="22" customHeight="1">
      <c r="A79" s="9" t="n"/>
      <c r="B79" s="10" t="n"/>
      <c r="C79" s="10" t="n"/>
      <c r="D79" s="10" t="n"/>
      <c r="E79" s="11">
        <f>IF($A79="","",MAX(0,(Financier!V79*0.4)+(Financier!S79*0.2)+(Operationnel!K79*0.2)-(IFERROR(Risque!B79/Financier!I79,0)*0.2)))</f>
        <v/>
      </c>
      <c r="F79" s="12">
        <f>IF($A79="","",ROUND(Social!B79*MAX(0,MIN(0.45,E79))*0.28,0))</f>
        <v/>
      </c>
      <c r="G79" s="12">
        <f>IF($A79="","",ROUND(Risque!B79*0.35,0))</f>
        <v/>
      </c>
    </row>
    <row r="80" ht="22" customHeight="1">
      <c r="A80" s="9" t="n"/>
      <c r="B80" s="10" t="n"/>
      <c r="C80" s="10" t="n"/>
      <c r="D80" s="10" t="n"/>
      <c r="E80" s="11">
        <f>IF($A80="","",MAX(0,(Financier!V80*0.4)+(Financier!S80*0.2)+(Operationnel!K80*0.2)-(IFERROR(Risque!B80/Financier!I80,0)*0.2)))</f>
        <v/>
      </c>
      <c r="F80" s="12">
        <f>IF($A80="","",ROUND(Social!B80*MAX(0,MIN(0.45,E80))*0.28,0))</f>
        <v/>
      </c>
      <c r="G80" s="12">
        <f>IF($A80="","",ROUND(Risque!B80*0.35,0))</f>
        <v/>
      </c>
    </row>
    <row r="81" ht="22" customHeight="1">
      <c r="A81" s="9" t="n"/>
      <c r="B81" s="10" t="n"/>
      <c r="C81" s="10" t="n"/>
      <c r="D81" s="10" t="n"/>
      <c r="E81" s="11">
        <f>IF($A81="","",MAX(0,(Financier!V81*0.4)+(Financier!S81*0.2)+(Operationnel!K81*0.2)-(IFERROR(Risque!B81/Financier!I81,0)*0.2)))</f>
        <v/>
      </c>
      <c r="F81" s="12">
        <f>IF($A81="","",ROUND(Social!B81*MAX(0,MIN(0.45,E81))*0.28,0))</f>
        <v/>
      </c>
      <c r="G81" s="12">
        <f>IF($A81="","",ROUND(Risque!B81*0.35,0))</f>
        <v/>
      </c>
    </row>
    <row r="82" ht="22" customHeight="1">
      <c r="A82" s="9" t="n"/>
      <c r="B82" s="10" t="n"/>
      <c r="C82" s="10" t="n"/>
      <c r="D82" s="10" t="n"/>
      <c r="E82" s="11">
        <f>IF($A82="","",MAX(0,(Financier!V82*0.4)+(Financier!S82*0.2)+(Operationnel!K82*0.2)-(IFERROR(Risque!B82/Financier!I82,0)*0.2)))</f>
        <v/>
      </c>
      <c r="F82" s="12">
        <f>IF($A82="","",ROUND(Social!B82*MAX(0,MIN(0.45,E82))*0.28,0))</f>
        <v/>
      </c>
      <c r="G82" s="12">
        <f>IF($A82="","",ROUND(Risque!B82*0.35,0))</f>
        <v/>
      </c>
    </row>
    <row r="83" ht="22" customHeight="1">
      <c r="A83" s="9" t="n"/>
      <c r="B83" s="10" t="n"/>
      <c r="C83" s="10" t="n"/>
      <c r="D83" s="10" t="n"/>
      <c r="E83" s="11">
        <f>IF($A83="","",MAX(0,(Financier!V83*0.4)+(Financier!S83*0.2)+(Operationnel!K83*0.2)-(IFERROR(Risque!B83/Financier!I83,0)*0.2)))</f>
        <v/>
      </c>
      <c r="F83" s="12">
        <f>IF($A83="","",ROUND(Social!B83*MAX(0,MIN(0.45,E83))*0.28,0))</f>
        <v/>
      </c>
      <c r="G83" s="12">
        <f>IF($A83="","",ROUND(Risque!B83*0.35,0))</f>
        <v/>
      </c>
    </row>
    <row r="84" ht="22" customHeight="1">
      <c r="A84" s="9" t="n"/>
      <c r="B84" s="10" t="n"/>
      <c r="C84" s="10" t="n"/>
      <c r="D84" s="10" t="n"/>
      <c r="E84" s="11">
        <f>IF($A84="","",MAX(0,(Financier!V84*0.4)+(Financier!S84*0.2)+(Operationnel!K84*0.2)-(IFERROR(Risque!B84/Financier!I84,0)*0.2)))</f>
        <v/>
      </c>
      <c r="F84" s="12">
        <f>IF($A84="","",ROUND(Social!B84*MAX(0,MIN(0.45,E84))*0.28,0))</f>
        <v/>
      </c>
      <c r="G84" s="12">
        <f>IF($A84="","",ROUND(Risque!B84*0.35,0))</f>
        <v/>
      </c>
    </row>
    <row r="85" ht="22" customHeight="1">
      <c r="A85" s="9" t="n"/>
      <c r="B85" s="10" t="n"/>
      <c r="C85" s="10" t="n"/>
      <c r="D85" s="10" t="n"/>
      <c r="E85" s="11">
        <f>IF($A85="","",MAX(0,(Financier!V85*0.4)+(Financier!S85*0.2)+(Operationnel!K85*0.2)-(IFERROR(Risque!B85/Financier!I85,0)*0.2)))</f>
        <v/>
      </c>
      <c r="F85" s="12">
        <f>IF($A85="","",ROUND(Social!B85*MAX(0,MIN(0.45,E85))*0.28,0))</f>
        <v/>
      </c>
      <c r="G85" s="12">
        <f>IF($A85="","",ROUND(Risque!B85*0.35,0))</f>
        <v/>
      </c>
    </row>
    <row r="86" ht="22" customHeight="1">
      <c r="A86" s="9" t="n"/>
      <c r="B86" s="10" t="n"/>
      <c r="C86" s="10" t="n"/>
      <c r="D86" s="10" t="n"/>
      <c r="E86" s="11">
        <f>IF($A86="","",MAX(0,(Financier!V86*0.4)+(Financier!S86*0.2)+(Operationnel!K86*0.2)-(IFERROR(Risque!B86/Financier!I86,0)*0.2)))</f>
        <v/>
      </c>
      <c r="F86" s="12">
        <f>IF($A86="","",ROUND(Social!B86*MAX(0,MIN(0.45,E86))*0.28,0))</f>
        <v/>
      </c>
      <c r="G86" s="12">
        <f>IF($A86="","",ROUND(Risque!B86*0.35,0))</f>
        <v/>
      </c>
    </row>
    <row r="87" ht="22" customHeight="1">
      <c r="A87" s="9" t="n"/>
      <c r="B87" s="10" t="n"/>
      <c r="C87" s="10" t="n"/>
      <c r="D87" s="10" t="n"/>
      <c r="E87" s="11">
        <f>IF($A87="","",MAX(0,(Financier!V87*0.4)+(Financier!S87*0.2)+(Operationnel!K87*0.2)-(IFERROR(Risque!B87/Financier!I87,0)*0.2)))</f>
        <v/>
      </c>
      <c r="F87" s="12">
        <f>IF($A87="","",ROUND(Social!B87*MAX(0,MIN(0.45,E87))*0.28,0))</f>
        <v/>
      </c>
      <c r="G87" s="12">
        <f>IF($A87="","",ROUND(Risque!B87*0.35,0))</f>
        <v/>
      </c>
    </row>
    <row r="88" ht="22" customHeight="1">
      <c r="A88" s="9" t="n"/>
      <c r="B88" s="10" t="n"/>
      <c r="C88" s="10" t="n"/>
      <c r="D88" s="10" t="n"/>
      <c r="E88" s="11">
        <f>IF($A88="","",MAX(0,(Financier!V88*0.4)+(Financier!S88*0.2)+(Operationnel!K88*0.2)-(IFERROR(Risque!B88/Financier!I88,0)*0.2)))</f>
        <v/>
      </c>
      <c r="F88" s="12">
        <f>IF($A88="","",ROUND(Social!B88*MAX(0,MIN(0.45,E88))*0.28,0))</f>
        <v/>
      </c>
      <c r="G88" s="12">
        <f>IF($A88="","",ROUND(Risque!B88*0.35,0))</f>
        <v/>
      </c>
    </row>
    <row r="89" ht="22" customHeight="1">
      <c r="A89" s="9" t="n"/>
      <c r="B89" s="10" t="n"/>
      <c r="C89" s="10" t="n"/>
      <c r="D89" s="10" t="n"/>
      <c r="E89" s="11">
        <f>IF($A89="","",MAX(0,(Financier!V89*0.4)+(Financier!S89*0.2)+(Operationnel!K89*0.2)-(IFERROR(Risque!B89/Financier!I89,0)*0.2)))</f>
        <v/>
      </c>
      <c r="F89" s="12">
        <f>IF($A89="","",ROUND(Social!B89*MAX(0,MIN(0.45,E89))*0.28,0))</f>
        <v/>
      </c>
      <c r="G89" s="12">
        <f>IF($A89="","",ROUND(Risque!B89*0.35,0))</f>
        <v/>
      </c>
    </row>
    <row r="90" ht="22" customHeight="1">
      <c r="A90" s="9" t="n"/>
      <c r="B90" s="10" t="n"/>
      <c r="C90" s="10" t="n"/>
      <c r="D90" s="10" t="n"/>
      <c r="E90" s="11">
        <f>IF($A90="","",MAX(0,(Financier!V90*0.4)+(Financier!S90*0.2)+(Operationnel!K90*0.2)-(IFERROR(Risque!B90/Financier!I90,0)*0.2)))</f>
        <v/>
      </c>
      <c r="F90" s="12">
        <f>IF($A90="","",ROUND(Social!B90*MAX(0,MIN(0.45,E90))*0.28,0))</f>
        <v/>
      </c>
      <c r="G90" s="12">
        <f>IF($A90="","",ROUND(Risque!B90*0.35,0))</f>
        <v/>
      </c>
    </row>
    <row r="91" ht="22" customHeight="1">
      <c r="A91" s="9" t="n"/>
      <c r="B91" s="10" t="n"/>
      <c r="C91" s="10" t="n"/>
      <c r="D91" s="10" t="n"/>
      <c r="E91" s="11">
        <f>IF($A91="","",MAX(0,(Financier!V91*0.4)+(Financier!S91*0.2)+(Operationnel!K91*0.2)-(IFERROR(Risque!B91/Financier!I91,0)*0.2)))</f>
        <v/>
      </c>
      <c r="F91" s="12">
        <f>IF($A91="","",ROUND(Social!B91*MAX(0,MIN(0.45,E91))*0.28,0))</f>
        <v/>
      </c>
      <c r="G91" s="12">
        <f>IF($A91="","",ROUND(Risque!B91*0.35,0))</f>
        <v/>
      </c>
    </row>
    <row r="92" ht="22" customHeight="1">
      <c r="A92" s="9" t="n"/>
      <c r="B92" s="10" t="n"/>
      <c r="C92" s="10" t="n"/>
      <c r="D92" s="10" t="n"/>
      <c r="E92" s="11">
        <f>IF($A92="","",MAX(0,(Financier!V92*0.4)+(Financier!S92*0.2)+(Operationnel!K92*0.2)-(IFERROR(Risque!B92/Financier!I92,0)*0.2)))</f>
        <v/>
      </c>
      <c r="F92" s="12">
        <f>IF($A92="","",ROUND(Social!B92*MAX(0,MIN(0.45,E92))*0.28,0))</f>
        <v/>
      </c>
      <c r="G92" s="12">
        <f>IF($A92="","",ROUND(Risque!B92*0.35,0))</f>
        <v/>
      </c>
    </row>
    <row r="93" ht="22" customHeight="1">
      <c r="A93" s="9" t="n"/>
      <c r="B93" s="10" t="n"/>
      <c r="C93" s="10" t="n"/>
      <c r="D93" s="10" t="n"/>
      <c r="E93" s="11">
        <f>IF($A93="","",MAX(0,(Financier!V93*0.4)+(Financier!S93*0.2)+(Operationnel!K93*0.2)-(IFERROR(Risque!B93/Financier!I93,0)*0.2)))</f>
        <v/>
      </c>
      <c r="F93" s="12">
        <f>IF($A93="","",ROUND(Social!B93*MAX(0,MIN(0.45,E93))*0.28,0))</f>
        <v/>
      </c>
      <c r="G93" s="12">
        <f>IF($A93="","",ROUND(Risque!B93*0.35,0))</f>
        <v/>
      </c>
    </row>
    <row r="94" ht="22" customHeight="1">
      <c r="A94" s="9" t="n"/>
      <c r="B94" s="10" t="n"/>
      <c r="C94" s="10" t="n"/>
      <c r="D94" s="10" t="n"/>
      <c r="E94" s="11">
        <f>IF($A94="","",MAX(0,(Financier!V94*0.4)+(Financier!S94*0.2)+(Operationnel!K94*0.2)-(IFERROR(Risque!B94/Financier!I94,0)*0.2)))</f>
        <v/>
      </c>
      <c r="F94" s="12">
        <f>IF($A94="","",ROUND(Social!B94*MAX(0,MIN(0.45,E94))*0.28,0))</f>
        <v/>
      </c>
      <c r="G94" s="12">
        <f>IF($A94="","",ROUND(Risque!B94*0.35,0))</f>
        <v/>
      </c>
    </row>
    <row r="95" ht="22" customHeight="1">
      <c r="A95" s="9" t="n"/>
      <c r="B95" s="10" t="n"/>
      <c r="C95" s="10" t="n"/>
      <c r="D95" s="10" t="n"/>
      <c r="E95" s="11">
        <f>IF($A95="","",MAX(0,(Financier!V95*0.4)+(Financier!S95*0.2)+(Operationnel!K95*0.2)-(IFERROR(Risque!B95/Financier!I95,0)*0.2)))</f>
        <v/>
      </c>
      <c r="F95" s="12">
        <f>IF($A95="","",ROUND(Social!B95*MAX(0,MIN(0.45,E95))*0.28,0))</f>
        <v/>
      </c>
      <c r="G95" s="12">
        <f>IF($A95="","",ROUND(Risque!B95*0.35,0))</f>
        <v/>
      </c>
    </row>
    <row r="96" ht="22" customHeight="1">
      <c r="A96" s="9" t="n"/>
      <c r="B96" s="10" t="n"/>
      <c r="C96" s="10" t="n"/>
      <c r="D96" s="10" t="n"/>
      <c r="E96" s="11">
        <f>IF($A96="","",MAX(0,(Financier!V96*0.4)+(Financier!S96*0.2)+(Operationnel!K96*0.2)-(IFERROR(Risque!B96/Financier!I96,0)*0.2)))</f>
        <v/>
      </c>
      <c r="F96" s="12">
        <f>IF($A96="","",ROUND(Social!B96*MAX(0,MIN(0.45,E96))*0.28,0))</f>
        <v/>
      </c>
      <c r="G96" s="12">
        <f>IF($A96="","",ROUND(Risque!B96*0.35,0))</f>
        <v/>
      </c>
    </row>
    <row r="97" ht="22" customHeight="1">
      <c r="A97" s="9" t="n"/>
      <c r="B97" s="10" t="n"/>
      <c r="C97" s="10" t="n"/>
      <c r="D97" s="10" t="n"/>
      <c r="E97" s="11">
        <f>IF($A97="","",MAX(0,(Financier!V97*0.4)+(Financier!S97*0.2)+(Operationnel!K97*0.2)-(IFERROR(Risque!B97/Financier!I97,0)*0.2)))</f>
        <v/>
      </c>
      <c r="F97" s="12">
        <f>IF($A97="","",ROUND(Social!B97*MAX(0,MIN(0.45,E97))*0.28,0))</f>
        <v/>
      </c>
      <c r="G97" s="12">
        <f>IF($A97="","",ROUND(Risque!B97*0.35,0))</f>
        <v/>
      </c>
    </row>
    <row r="98" ht="22" customHeight="1">
      <c r="A98" s="9" t="n"/>
      <c r="B98" s="10" t="n"/>
      <c r="C98" s="10" t="n"/>
      <c r="D98" s="10" t="n"/>
      <c r="E98" s="11">
        <f>IF($A98="","",MAX(0,(Financier!V98*0.4)+(Financier!S98*0.2)+(Operationnel!K98*0.2)-(IFERROR(Risque!B98/Financier!I98,0)*0.2)))</f>
        <v/>
      </c>
      <c r="F98" s="12">
        <f>IF($A98="","",ROUND(Social!B98*MAX(0,MIN(0.45,E98))*0.28,0))</f>
        <v/>
      </c>
      <c r="G98" s="12">
        <f>IF($A98="","",ROUND(Risque!B98*0.35,0))</f>
        <v/>
      </c>
    </row>
    <row r="99" ht="22" customHeight="1">
      <c r="A99" s="9" t="n"/>
      <c r="B99" s="10" t="n"/>
      <c r="C99" s="10" t="n"/>
      <c r="D99" s="10" t="n"/>
      <c r="E99" s="11">
        <f>IF($A99="","",MAX(0,(Financier!V99*0.4)+(Financier!S99*0.2)+(Operationnel!K99*0.2)-(IFERROR(Risque!B99/Financier!I99,0)*0.2)))</f>
        <v/>
      </c>
      <c r="F99" s="12">
        <f>IF($A99="","",ROUND(Social!B99*MAX(0,MIN(0.45,E99))*0.28,0))</f>
        <v/>
      </c>
      <c r="G99" s="12">
        <f>IF($A99="","",ROUND(Risque!B99*0.35,0))</f>
        <v/>
      </c>
    </row>
    <row r="100" ht="22" customHeight="1">
      <c r="A100" s="9" t="n"/>
      <c r="B100" s="10" t="n"/>
      <c r="C100" s="10" t="n"/>
      <c r="D100" s="10" t="n"/>
      <c r="E100" s="11">
        <f>IF($A100="","",MAX(0,(Financier!V100*0.4)+(Financier!S100*0.2)+(Operationnel!K100*0.2)-(IFERROR(Risque!B100/Financier!I100,0)*0.2)))</f>
        <v/>
      </c>
      <c r="F100" s="12">
        <f>IF($A100="","",ROUND(Social!B100*MAX(0,MIN(0.45,E100))*0.28,0))</f>
        <v/>
      </c>
      <c r="G100" s="12">
        <f>IF($A100="","",ROUND(Risque!B100*0.35,0))</f>
        <v/>
      </c>
    </row>
    <row r="101" ht="22" customHeight="1">
      <c r="A101" s="9" t="n"/>
      <c r="B101" s="10" t="n"/>
      <c r="C101" s="10" t="n"/>
      <c r="D101" s="10" t="n"/>
      <c r="E101" s="11">
        <f>IF($A101="","",MAX(0,(Financier!V101*0.4)+(Financier!S101*0.2)+(Operationnel!K101*0.2)-(IFERROR(Risque!B101/Financier!I101,0)*0.2)))</f>
        <v/>
      </c>
      <c r="F101" s="12">
        <f>IF($A101="","",ROUND(Social!B101*MAX(0,MIN(0.45,E101))*0.28,0))</f>
        <v/>
      </c>
      <c r="G101" s="12">
        <f>IF($A101="","",ROUND(Risque!B101*0.35,0))</f>
        <v/>
      </c>
    </row>
    <row r="102" ht="22" customHeight="1">
      <c r="A102" s="9" t="n"/>
      <c r="B102" s="10" t="n"/>
      <c r="C102" s="10" t="n"/>
      <c r="D102" s="10" t="n"/>
      <c r="E102" s="11">
        <f>IF($A102="","",MAX(0,(Financier!V102*0.4)+(Financier!S102*0.2)+(Operationnel!K102*0.2)-(IFERROR(Risque!B102/Financier!I102,0)*0.2)))</f>
        <v/>
      </c>
      <c r="F102" s="12">
        <f>IF($A102="","",ROUND(Social!B102*MAX(0,MIN(0.45,E102))*0.28,0))</f>
        <v/>
      </c>
      <c r="G102" s="12">
        <f>IF($A102="","",ROUND(Risque!B102*0.35,0))</f>
        <v/>
      </c>
    </row>
    <row r="103" ht="22" customHeight="1">
      <c r="A103" s="9" t="n"/>
      <c r="B103" s="10" t="n"/>
      <c r="C103" s="10" t="n"/>
      <c r="D103" s="10" t="n"/>
      <c r="E103" s="11">
        <f>IF($A103="","",MAX(0,(Financier!V103*0.4)+(Financier!S103*0.2)+(Operationnel!K103*0.2)-(IFERROR(Risque!B103/Financier!I103,0)*0.2)))</f>
        <v/>
      </c>
      <c r="F103" s="12">
        <f>IF($A103="","",ROUND(Social!B103*MAX(0,MIN(0.45,E103))*0.28,0))</f>
        <v/>
      </c>
      <c r="G103" s="12">
        <f>IF($A103="","",ROUND(Risque!B103*0.35,0))</f>
        <v/>
      </c>
    </row>
    <row r="104" ht="22" customHeight="1">
      <c r="A104" s="9" t="n"/>
      <c r="B104" s="10" t="n"/>
      <c r="C104" s="10" t="n"/>
      <c r="D104" s="10" t="n"/>
      <c r="E104" s="11">
        <f>IF($A104="","",MAX(0,(Financier!V104*0.4)+(Financier!S104*0.2)+(Operationnel!K104*0.2)-(IFERROR(Risque!B104/Financier!I104,0)*0.2)))</f>
        <v/>
      </c>
      <c r="F104" s="12">
        <f>IF($A104="","",ROUND(Social!B104*MAX(0,MIN(0.45,E104))*0.28,0))</f>
        <v/>
      </c>
      <c r="G104" s="12">
        <f>IF($A104="","",ROUND(Risque!B104*0.35,0))</f>
        <v/>
      </c>
    </row>
    <row r="105" ht="22" customHeight="1">
      <c r="A105" s="9" t="n"/>
      <c r="B105" s="10" t="n"/>
      <c r="C105" s="10" t="n"/>
      <c r="D105" s="10" t="n"/>
      <c r="E105" s="11">
        <f>IF($A105="","",MAX(0,(Financier!V105*0.4)+(Financier!S105*0.2)+(Operationnel!K105*0.2)-(IFERROR(Risque!B105/Financier!I105,0)*0.2)))</f>
        <v/>
      </c>
      <c r="F105" s="12">
        <f>IF($A105="","",ROUND(Social!B105*MAX(0,MIN(0.45,E105))*0.28,0))</f>
        <v/>
      </c>
      <c r="G105" s="12">
        <f>IF($A105="","",ROUND(Risque!B105*0.35,0))</f>
        <v/>
      </c>
    </row>
    <row r="106" ht="22" customHeight="1">
      <c r="A106" s="9" t="n"/>
      <c r="B106" s="10" t="n"/>
      <c r="C106" s="10" t="n"/>
      <c r="D106" s="10" t="n"/>
      <c r="E106" s="11">
        <f>IF($A106="","",MAX(0,(Financier!V106*0.4)+(Financier!S106*0.2)+(Operationnel!K106*0.2)-(IFERROR(Risque!B106/Financier!I106,0)*0.2)))</f>
        <v/>
      </c>
      <c r="F106" s="12">
        <f>IF($A106="","",ROUND(Social!B106*MAX(0,MIN(0.45,E106))*0.28,0))</f>
        <v/>
      </c>
      <c r="G106" s="12">
        <f>IF($A106="","",ROUND(Risque!B106*0.35,0))</f>
        <v/>
      </c>
    </row>
    <row r="107" ht="22" customHeight="1">
      <c r="A107" s="9" t="n"/>
      <c r="B107" s="10" t="n"/>
      <c r="C107" s="10" t="n"/>
      <c r="D107" s="10" t="n"/>
      <c r="E107" s="11">
        <f>IF($A107="","",MAX(0,(Financier!V107*0.4)+(Financier!S107*0.2)+(Operationnel!K107*0.2)-(IFERROR(Risque!B107/Financier!I107,0)*0.2)))</f>
        <v/>
      </c>
      <c r="F107" s="12">
        <f>IF($A107="","",ROUND(Social!B107*MAX(0,MIN(0.45,E107))*0.28,0))</f>
        <v/>
      </c>
      <c r="G107" s="12">
        <f>IF($A107="","",ROUND(Risque!B107*0.35,0))</f>
        <v/>
      </c>
    </row>
    <row r="108" ht="22" customHeight="1">
      <c r="A108" s="9" t="n"/>
      <c r="B108" s="10" t="n"/>
      <c r="C108" s="10" t="n"/>
      <c r="D108" s="10" t="n"/>
      <c r="E108" s="11">
        <f>IF($A108="","",MAX(0,(Financier!V108*0.4)+(Financier!S108*0.2)+(Operationnel!K108*0.2)-(IFERROR(Risque!B108/Financier!I108,0)*0.2)))</f>
        <v/>
      </c>
      <c r="F108" s="12">
        <f>IF($A108="","",ROUND(Social!B108*MAX(0,MIN(0.45,E108))*0.28,0))</f>
        <v/>
      </c>
      <c r="G108" s="12">
        <f>IF($A108="","",ROUND(Risque!B108*0.35,0))</f>
        <v/>
      </c>
    </row>
    <row r="109" ht="22" customHeight="1">
      <c r="A109" s="9" t="n"/>
      <c r="B109" s="10" t="n"/>
      <c r="C109" s="10" t="n"/>
      <c r="D109" s="10" t="n"/>
      <c r="E109" s="11">
        <f>IF($A109="","",MAX(0,(Financier!V109*0.4)+(Financier!S109*0.2)+(Operationnel!K109*0.2)-(IFERROR(Risque!B109/Financier!I109,0)*0.2)))</f>
        <v/>
      </c>
      <c r="F109" s="12">
        <f>IF($A109="","",ROUND(Social!B109*MAX(0,MIN(0.45,E109))*0.28,0))</f>
        <v/>
      </c>
      <c r="G109" s="12">
        <f>IF($A109="","",ROUND(Risque!B109*0.35,0))</f>
        <v/>
      </c>
    </row>
    <row r="110" ht="22" customHeight="1">
      <c r="A110" s="9" t="n"/>
      <c r="B110" s="10" t="n"/>
      <c r="C110" s="10" t="n"/>
      <c r="D110" s="10" t="n"/>
      <c r="E110" s="11">
        <f>IF($A110="","",MAX(0,(Financier!V110*0.4)+(Financier!S110*0.2)+(Operationnel!K110*0.2)-(IFERROR(Risque!B110/Financier!I110,0)*0.2)))</f>
        <v/>
      </c>
      <c r="F110" s="12">
        <f>IF($A110="","",ROUND(Social!B110*MAX(0,MIN(0.45,E110))*0.28,0))</f>
        <v/>
      </c>
      <c r="G110" s="12">
        <f>IF($A110="","",ROUND(Risque!B110*0.35,0))</f>
        <v/>
      </c>
    </row>
    <row r="111" ht="22" customHeight="1">
      <c r="A111" s="9" t="n"/>
      <c r="B111" s="10" t="n"/>
      <c r="C111" s="10" t="n"/>
      <c r="D111" s="10" t="n"/>
      <c r="E111" s="11">
        <f>IF($A111="","",MAX(0,(Financier!V111*0.4)+(Financier!S111*0.2)+(Operationnel!K111*0.2)-(IFERROR(Risque!B111/Financier!I111,0)*0.2)))</f>
        <v/>
      </c>
      <c r="F111" s="12">
        <f>IF($A111="","",ROUND(Social!B111*MAX(0,MIN(0.45,E111))*0.28,0))</f>
        <v/>
      </c>
      <c r="G111" s="12">
        <f>IF($A111="","",ROUND(Risque!B111*0.35,0))</f>
        <v/>
      </c>
    </row>
    <row r="112" ht="22" customHeight="1">
      <c r="A112" s="9" t="n"/>
      <c r="B112" s="10" t="n"/>
      <c r="C112" s="10" t="n"/>
      <c r="D112" s="10" t="n"/>
      <c r="E112" s="11">
        <f>IF($A112="","",MAX(0,(Financier!V112*0.4)+(Financier!S112*0.2)+(Operationnel!K112*0.2)-(IFERROR(Risque!B112/Financier!I112,0)*0.2)))</f>
        <v/>
      </c>
      <c r="F112" s="12">
        <f>IF($A112="","",ROUND(Social!B112*MAX(0,MIN(0.45,E112))*0.28,0))</f>
        <v/>
      </c>
      <c r="G112" s="12">
        <f>IF($A112="","",ROUND(Risque!B112*0.35,0))</f>
        <v/>
      </c>
    </row>
    <row r="113" ht="22" customHeight="1">
      <c r="A113" s="9" t="n"/>
      <c r="B113" s="10" t="n"/>
      <c r="C113" s="10" t="n"/>
      <c r="D113" s="10" t="n"/>
      <c r="E113" s="11">
        <f>IF($A113="","",MAX(0,(Financier!V113*0.4)+(Financier!S113*0.2)+(Operationnel!K113*0.2)-(IFERROR(Risque!B113/Financier!I113,0)*0.2)))</f>
        <v/>
      </c>
      <c r="F113" s="12">
        <f>IF($A113="","",ROUND(Social!B113*MAX(0,MIN(0.45,E113))*0.28,0))</f>
        <v/>
      </c>
      <c r="G113" s="12">
        <f>IF($A113="","",ROUND(Risque!B113*0.35,0))</f>
        <v/>
      </c>
    </row>
    <row r="114" ht="22" customHeight="1">
      <c r="A114" s="9" t="n"/>
      <c r="B114" s="10" t="n"/>
      <c r="C114" s="10" t="n"/>
      <c r="D114" s="10" t="n"/>
      <c r="E114" s="11">
        <f>IF($A114="","",MAX(0,(Financier!V114*0.4)+(Financier!S114*0.2)+(Operationnel!K114*0.2)-(IFERROR(Risque!B114/Financier!I114,0)*0.2)))</f>
        <v/>
      </c>
      <c r="F114" s="12">
        <f>IF($A114="","",ROUND(Social!B114*MAX(0,MIN(0.45,E114))*0.28,0))</f>
        <v/>
      </c>
      <c r="G114" s="12">
        <f>IF($A114="","",ROUND(Risque!B114*0.35,0))</f>
        <v/>
      </c>
    </row>
    <row r="115" ht="22" customHeight="1">
      <c r="A115" s="9" t="n"/>
      <c r="B115" s="10" t="n"/>
      <c r="C115" s="10" t="n"/>
      <c r="D115" s="10" t="n"/>
      <c r="E115" s="11">
        <f>IF($A115="","",MAX(0,(Financier!V115*0.4)+(Financier!S115*0.2)+(Operationnel!K115*0.2)-(IFERROR(Risque!B115/Financier!I115,0)*0.2)))</f>
        <v/>
      </c>
      <c r="F115" s="12">
        <f>IF($A115="","",ROUND(Social!B115*MAX(0,MIN(0.45,E115))*0.28,0))</f>
        <v/>
      </c>
      <c r="G115" s="12">
        <f>IF($A115="","",ROUND(Risque!B115*0.35,0))</f>
        <v/>
      </c>
    </row>
    <row r="116" ht="22" customHeight="1">
      <c r="A116" s="9" t="n"/>
      <c r="B116" s="10" t="n"/>
      <c r="C116" s="10" t="n"/>
      <c r="D116" s="10" t="n"/>
      <c r="E116" s="11">
        <f>IF($A116="","",MAX(0,(Financier!V116*0.4)+(Financier!S116*0.2)+(Operationnel!K116*0.2)-(IFERROR(Risque!B116/Financier!I116,0)*0.2)))</f>
        <v/>
      </c>
      <c r="F116" s="12">
        <f>IF($A116="","",ROUND(Social!B116*MAX(0,MIN(0.45,E116))*0.28,0))</f>
        <v/>
      </c>
      <c r="G116" s="12">
        <f>IF($A116="","",ROUND(Risque!B116*0.35,0))</f>
        <v/>
      </c>
    </row>
    <row r="117" ht="22" customHeight="1">
      <c r="A117" s="9" t="n"/>
      <c r="B117" s="10" t="n"/>
      <c r="C117" s="10" t="n"/>
      <c r="D117" s="10" t="n"/>
      <c r="E117" s="11">
        <f>IF($A117="","",MAX(0,(Financier!V117*0.4)+(Financier!S117*0.2)+(Operationnel!K117*0.2)-(IFERROR(Risque!B117/Financier!I117,0)*0.2)))</f>
        <v/>
      </c>
      <c r="F117" s="12">
        <f>IF($A117="","",ROUND(Social!B117*MAX(0,MIN(0.45,E117))*0.28,0))</f>
        <v/>
      </c>
      <c r="G117" s="12">
        <f>IF($A117="","",ROUND(Risque!B117*0.35,0))</f>
        <v/>
      </c>
    </row>
    <row r="118" ht="22" customHeight="1">
      <c r="A118" s="9" t="n"/>
      <c r="B118" s="10" t="n"/>
      <c r="C118" s="10" t="n"/>
      <c r="D118" s="10" t="n"/>
      <c r="E118" s="11">
        <f>IF($A118="","",MAX(0,(Financier!V118*0.4)+(Financier!S118*0.2)+(Operationnel!K118*0.2)-(IFERROR(Risque!B118/Financier!I118,0)*0.2)))</f>
        <v/>
      </c>
      <c r="F118" s="12">
        <f>IF($A118="","",ROUND(Social!B118*MAX(0,MIN(0.45,E118))*0.28,0))</f>
        <v/>
      </c>
      <c r="G118" s="12">
        <f>IF($A118="","",ROUND(Risque!B118*0.35,0))</f>
        <v/>
      </c>
    </row>
    <row r="119" ht="22" customHeight="1">
      <c r="A119" s="9" t="n"/>
      <c r="B119" s="10" t="n"/>
      <c r="C119" s="10" t="n"/>
      <c r="D119" s="10" t="n"/>
      <c r="E119" s="11">
        <f>IF($A119="","",MAX(0,(Financier!V119*0.4)+(Financier!S119*0.2)+(Operationnel!K119*0.2)-(IFERROR(Risque!B119/Financier!I119,0)*0.2)))</f>
        <v/>
      </c>
      <c r="F119" s="12">
        <f>IF($A119="","",ROUND(Social!B119*MAX(0,MIN(0.45,E119))*0.28,0))</f>
        <v/>
      </c>
      <c r="G119" s="12">
        <f>IF($A119="","",ROUND(Risque!B119*0.35,0))</f>
        <v/>
      </c>
    </row>
    <row r="120" ht="22" customHeight="1">
      <c r="A120" s="9" t="n"/>
      <c r="B120" s="10" t="n"/>
      <c r="C120" s="10" t="n"/>
      <c r="D120" s="10" t="n"/>
      <c r="E120" s="11">
        <f>IF($A120="","",MAX(0,(Financier!V120*0.4)+(Financier!S120*0.2)+(Operationnel!K120*0.2)-(IFERROR(Risque!B120/Financier!I120,0)*0.2)))</f>
        <v/>
      </c>
      <c r="F120" s="12">
        <f>IF($A120="","",ROUND(Social!B120*MAX(0,MIN(0.45,E120))*0.28,0))</f>
        <v/>
      </c>
      <c r="G120" s="12">
        <f>IF($A120="","",ROUND(Risque!B120*0.35,0))</f>
        <v/>
      </c>
    </row>
    <row r="121" ht="22" customHeight="1">
      <c r="A121" s="9" t="n"/>
      <c r="B121" s="10" t="n"/>
      <c r="C121" s="10" t="n"/>
      <c r="D121" s="10" t="n"/>
      <c r="E121" s="11">
        <f>IF($A121="","",MAX(0,(Financier!V121*0.4)+(Financier!S121*0.2)+(Operationnel!K121*0.2)-(IFERROR(Risque!B121/Financier!I121,0)*0.2)))</f>
        <v/>
      </c>
      <c r="F121" s="12">
        <f>IF($A121="","",ROUND(Social!B121*MAX(0,MIN(0.45,E121))*0.28,0))</f>
        <v/>
      </c>
      <c r="G121" s="12">
        <f>IF($A121="","",ROUND(Risque!B121*0.35,0))</f>
        <v/>
      </c>
    </row>
    <row r="122" ht="22" customHeight="1">
      <c r="A122" s="9" t="n"/>
      <c r="B122" s="10" t="n"/>
      <c r="C122" s="10" t="n"/>
      <c r="D122" s="10" t="n"/>
      <c r="E122" s="11">
        <f>IF($A122="","",MAX(0,(Financier!V122*0.4)+(Financier!S122*0.2)+(Operationnel!K122*0.2)-(IFERROR(Risque!B122/Financier!I122,0)*0.2)))</f>
        <v/>
      </c>
      <c r="F122" s="12">
        <f>IF($A122="","",ROUND(Social!B122*MAX(0,MIN(0.45,E122))*0.28,0))</f>
        <v/>
      </c>
      <c r="G122" s="12">
        <f>IF($A122="","",ROUND(Risque!B122*0.35,0))</f>
        <v/>
      </c>
    </row>
    <row r="123" ht="22" customHeight="1">
      <c r="A123" s="9" t="n"/>
      <c r="B123" s="10" t="n"/>
      <c r="C123" s="10" t="n"/>
      <c r="D123" s="10" t="n"/>
      <c r="E123" s="11">
        <f>IF($A123="","",MAX(0,(Financier!V123*0.4)+(Financier!S123*0.2)+(Operationnel!K123*0.2)-(IFERROR(Risque!B123/Financier!I123,0)*0.2)))</f>
        <v/>
      </c>
      <c r="F123" s="12">
        <f>IF($A123="","",ROUND(Social!B123*MAX(0,MIN(0.45,E123))*0.28,0))</f>
        <v/>
      </c>
      <c r="G123" s="12">
        <f>IF($A123="","",ROUND(Risque!B123*0.35,0))</f>
        <v/>
      </c>
    </row>
    <row r="124" ht="22" customHeight="1">
      <c r="A124" s="9" t="n"/>
      <c r="B124" s="10" t="n"/>
      <c r="C124" s="10" t="n"/>
      <c r="D124" s="10" t="n"/>
      <c r="E124" s="11">
        <f>IF($A124="","",MAX(0,(Financier!V124*0.4)+(Financier!S124*0.2)+(Operationnel!K124*0.2)-(IFERROR(Risque!B124/Financier!I124,0)*0.2)))</f>
        <v/>
      </c>
      <c r="F124" s="12">
        <f>IF($A124="","",ROUND(Social!B124*MAX(0,MIN(0.45,E124))*0.28,0))</f>
        <v/>
      </c>
      <c r="G124" s="12">
        <f>IF($A124="","",ROUND(Risque!B124*0.35,0))</f>
        <v/>
      </c>
    </row>
    <row r="125" ht="22" customHeight="1">
      <c r="A125" s="9" t="n"/>
      <c r="B125" s="10" t="n"/>
      <c r="C125" s="10" t="n"/>
      <c r="D125" s="10" t="n"/>
      <c r="E125" s="11">
        <f>IF($A125="","",MAX(0,(Financier!V125*0.4)+(Financier!S125*0.2)+(Operationnel!K125*0.2)-(IFERROR(Risque!B125/Financier!I125,0)*0.2)))</f>
        <v/>
      </c>
      <c r="F125" s="12">
        <f>IF($A125="","",ROUND(Social!B125*MAX(0,MIN(0.45,E125))*0.28,0))</f>
        <v/>
      </c>
      <c r="G125" s="12">
        <f>IF($A125="","",ROUND(Risque!B125*0.35,0))</f>
        <v/>
      </c>
    </row>
    <row r="126" ht="22" customHeight="1">
      <c r="A126" s="9" t="n"/>
      <c r="B126" s="10" t="n"/>
      <c r="C126" s="10" t="n"/>
      <c r="D126" s="10" t="n"/>
      <c r="E126" s="11">
        <f>IF($A126="","",MAX(0,(Financier!V126*0.4)+(Financier!S126*0.2)+(Operationnel!K126*0.2)-(IFERROR(Risque!B126/Financier!I126,0)*0.2)))</f>
        <v/>
      </c>
      <c r="F126" s="12">
        <f>IF($A126="","",ROUND(Social!B126*MAX(0,MIN(0.45,E126))*0.28,0))</f>
        <v/>
      </c>
      <c r="G126" s="12">
        <f>IF($A126="","",ROUND(Risque!B126*0.35,0))</f>
        <v/>
      </c>
    </row>
    <row r="127" ht="22" customHeight="1">
      <c r="A127" s="9" t="n"/>
      <c r="B127" s="10" t="n"/>
      <c r="C127" s="10" t="n"/>
      <c r="D127" s="10" t="n"/>
      <c r="E127" s="11">
        <f>IF($A127="","",MAX(0,(Financier!V127*0.4)+(Financier!S127*0.2)+(Operationnel!K127*0.2)-(IFERROR(Risque!B127/Financier!I127,0)*0.2)))</f>
        <v/>
      </c>
      <c r="F127" s="12">
        <f>IF($A127="","",ROUND(Social!B127*MAX(0,MIN(0.45,E127))*0.28,0))</f>
        <v/>
      </c>
      <c r="G127" s="12">
        <f>IF($A127="","",ROUND(Risque!B127*0.35,0))</f>
        <v/>
      </c>
    </row>
    <row r="128" ht="22" customHeight="1">
      <c r="A128" s="9" t="n"/>
      <c r="B128" s="10" t="n"/>
      <c r="C128" s="10" t="n"/>
      <c r="D128" s="10" t="n"/>
      <c r="E128" s="11">
        <f>IF($A128="","",MAX(0,(Financier!V128*0.4)+(Financier!S128*0.2)+(Operationnel!K128*0.2)-(IFERROR(Risque!B128/Financier!I128,0)*0.2)))</f>
        <v/>
      </c>
      <c r="F128" s="12">
        <f>IF($A128="","",ROUND(Social!B128*MAX(0,MIN(0.45,E128))*0.28,0))</f>
        <v/>
      </c>
      <c r="G128" s="12">
        <f>IF($A128="","",ROUND(Risque!B128*0.35,0))</f>
        <v/>
      </c>
    </row>
    <row r="129" ht="22" customHeight="1">
      <c r="A129" s="9" t="n"/>
      <c r="B129" s="10" t="n"/>
      <c r="C129" s="10" t="n"/>
      <c r="D129" s="10" t="n"/>
      <c r="E129" s="11">
        <f>IF($A129="","",MAX(0,(Financier!V129*0.4)+(Financier!S129*0.2)+(Operationnel!K129*0.2)-(IFERROR(Risque!B129/Financier!I129,0)*0.2)))</f>
        <v/>
      </c>
      <c r="F129" s="12">
        <f>IF($A129="","",ROUND(Social!B129*MAX(0,MIN(0.45,E129))*0.28,0))</f>
        <v/>
      </c>
      <c r="G129" s="12">
        <f>IF($A129="","",ROUND(Risque!B129*0.35,0))</f>
        <v/>
      </c>
    </row>
    <row r="130" ht="22" customHeight="1">
      <c r="A130" s="9" t="n"/>
      <c r="B130" s="10" t="n"/>
      <c r="C130" s="10" t="n"/>
      <c r="D130" s="10" t="n"/>
      <c r="E130" s="11">
        <f>IF($A130="","",MAX(0,(Financier!V130*0.4)+(Financier!S130*0.2)+(Operationnel!K130*0.2)-(IFERROR(Risque!B130/Financier!I130,0)*0.2)))</f>
        <v/>
      </c>
      <c r="F130" s="12">
        <f>IF($A130="","",ROUND(Social!B130*MAX(0,MIN(0.45,E130))*0.28,0))</f>
        <v/>
      </c>
      <c r="G130" s="12">
        <f>IF($A130="","",ROUND(Risque!B130*0.35,0))</f>
        <v/>
      </c>
    </row>
    <row r="131" ht="22" customHeight="1">
      <c r="A131" s="9" t="n"/>
      <c r="B131" s="10" t="n"/>
      <c r="C131" s="10" t="n"/>
      <c r="D131" s="10" t="n"/>
      <c r="E131" s="11">
        <f>IF($A131="","",MAX(0,(Financier!V131*0.4)+(Financier!S131*0.2)+(Operationnel!K131*0.2)-(IFERROR(Risque!B131/Financier!I131,0)*0.2)))</f>
        <v/>
      </c>
      <c r="F131" s="12">
        <f>IF($A131="","",ROUND(Social!B131*MAX(0,MIN(0.45,E131))*0.28,0))</f>
        <v/>
      </c>
      <c r="G131" s="12">
        <f>IF($A131="","",ROUND(Risque!B131*0.35,0))</f>
        <v/>
      </c>
    </row>
    <row r="132" ht="22" customHeight="1">
      <c r="A132" s="9" t="n"/>
      <c r="B132" s="10" t="n"/>
      <c r="C132" s="10" t="n"/>
      <c r="D132" s="10" t="n"/>
      <c r="E132" s="11">
        <f>IF($A132="","",MAX(0,(Financier!V132*0.4)+(Financier!S132*0.2)+(Operationnel!K132*0.2)-(IFERROR(Risque!B132/Financier!I132,0)*0.2)))</f>
        <v/>
      </c>
      <c r="F132" s="12">
        <f>IF($A132="","",ROUND(Social!B132*MAX(0,MIN(0.45,E132))*0.28,0))</f>
        <v/>
      </c>
      <c r="G132" s="12">
        <f>IF($A132="","",ROUND(Risque!B132*0.35,0))</f>
        <v/>
      </c>
    </row>
    <row r="133" ht="22" customHeight="1">
      <c r="A133" s="9" t="n"/>
      <c r="B133" s="10" t="n"/>
      <c r="C133" s="10" t="n"/>
      <c r="D133" s="10" t="n"/>
      <c r="E133" s="11">
        <f>IF($A133="","",MAX(0,(Financier!V133*0.4)+(Financier!S133*0.2)+(Operationnel!K133*0.2)-(IFERROR(Risque!B133/Financier!I133,0)*0.2)))</f>
        <v/>
      </c>
      <c r="F133" s="12">
        <f>IF($A133="","",ROUND(Social!B133*MAX(0,MIN(0.45,E133))*0.28,0))</f>
        <v/>
      </c>
      <c r="G133" s="12">
        <f>IF($A133="","",ROUND(Risque!B133*0.35,0))</f>
        <v/>
      </c>
    </row>
    <row r="134" ht="22" customHeight="1">
      <c r="A134" s="9" t="n"/>
      <c r="B134" s="10" t="n"/>
      <c r="C134" s="10" t="n"/>
      <c r="D134" s="10" t="n"/>
      <c r="E134" s="11">
        <f>IF($A134="","",MAX(0,(Financier!V134*0.4)+(Financier!S134*0.2)+(Operationnel!K134*0.2)-(IFERROR(Risque!B134/Financier!I134,0)*0.2)))</f>
        <v/>
      </c>
      <c r="F134" s="12">
        <f>IF($A134="","",ROUND(Social!B134*MAX(0,MIN(0.45,E134))*0.28,0))</f>
        <v/>
      </c>
      <c r="G134" s="12">
        <f>IF($A134="","",ROUND(Risque!B134*0.35,0))</f>
        <v/>
      </c>
    </row>
    <row r="135" ht="22" customHeight="1">
      <c r="A135" s="9" t="n"/>
      <c r="B135" s="10" t="n"/>
      <c r="C135" s="10" t="n"/>
      <c r="D135" s="10" t="n"/>
      <c r="E135" s="11">
        <f>IF($A135="","",MAX(0,(Financier!V135*0.4)+(Financier!S135*0.2)+(Operationnel!K135*0.2)-(IFERROR(Risque!B135/Financier!I135,0)*0.2)))</f>
        <v/>
      </c>
      <c r="F135" s="12">
        <f>IF($A135="","",ROUND(Social!B135*MAX(0,MIN(0.45,E135))*0.28,0))</f>
        <v/>
      </c>
      <c r="G135" s="12">
        <f>IF($A135="","",ROUND(Risque!B135*0.35,0))</f>
        <v/>
      </c>
    </row>
    <row r="136" ht="22" customHeight="1">
      <c r="A136" s="9" t="n"/>
      <c r="B136" s="10" t="n"/>
      <c r="C136" s="10" t="n"/>
      <c r="D136" s="10" t="n"/>
      <c r="E136" s="11">
        <f>IF($A136="","",MAX(0,(Financier!V136*0.4)+(Financier!S136*0.2)+(Operationnel!K136*0.2)-(IFERROR(Risque!B136/Financier!I136,0)*0.2)))</f>
        <v/>
      </c>
      <c r="F136" s="12">
        <f>IF($A136="","",ROUND(Social!B136*MAX(0,MIN(0.45,E136))*0.28,0))</f>
        <v/>
      </c>
      <c r="G136" s="12">
        <f>IF($A136="","",ROUND(Risque!B136*0.35,0))</f>
        <v/>
      </c>
    </row>
    <row r="137" ht="22" customHeight="1">
      <c r="A137" s="9" t="n"/>
      <c r="B137" s="10" t="n"/>
      <c r="C137" s="10" t="n"/>
      <c r="D137" s="10" t="n"/>
      <c r="E137" s="11">
        <f>IF($A137="","",MAX(0,(Financier!V137*0.4)+(Financier!S137*0.2)+(Operationnel!K137*0.2)-(IFERROR(Risque!B137/Financier!I137,0)*0.2)))</f>
        <v/>
      </c>
      <c r="F137" s="12">
        <f>IF($A137="","",ROUND(Social!B137*MAX(0,MIN(0.45,E137))*0.28,0))</f>
        <v/>
      </c>
      <c r="G137" s="12">
        <f>IF($A137="","",ROUND(Risque!B137*0.35,0))</f>
        <v/>
      </c>
    </row>
    <row r="138" ht="22" customHeight="1">
      <c r="A138" s="9" t="n"/>
      <c r="B138" s="10" t="n"/>
      <c r="C138" s="10" t="n"/>
      <c r="D138" s="10" t="n"/>
      <c r="E138" s="11">
        <f>IF($A138="","",MAX(0,(Financier!V138*0.4)+(Financier!S138*0.2)+(Operationnel!K138*0.2)-(IFERROR(Risque!B138/Financier!I138,0)*0.2)))</f>
        <v/>
      </c>
      <c r="F138" s="12">
        <f>IF($A138="","",ROUND(Social!B138*MAX(0,MIN(0.45,E138))*0.28,0))</f>
        <v/>
      </c>
      <c r="G138" s="12">
        <f>IF($A138="","",ROUND(Risque!B138*0.35,0))</f>
        <v/>
      </c>
    </row>
    <row r="139" ht="22" customHeight="1">
      <c r="A139" s="9" t="n"/>
      <c r="B139" s="10" t="n"/>
      <c r="C139" s="10" t="n"/>
      <c r="D139" s="10" t="n"/>
      <c r="E139" s="11">
        <f>IF($A139="","",MAX(0,(Financier!V139*0.4)+(Financier!S139*0.2)+(Operationnel!K139*0.2)-(IFERROR(Risque!B139/Financier!I139,0)*0.2)))</f>
        <v/>
      </c>
      <c r="F139" s="12">
        <f>IF($A139="","",ROUND(Social!B139*MAX(0,MIN(0.45,E139))*0.28,0))</f>
        <v/>
      </c>
      <c r="G139" s="12">
        <f>IF($A139="","",ROUND(Risque!B139*0.35,0))</f>
        <v/>
      </c>
    </row>
    <row r="140" ht="22" customHeight="1">
      <c r="A140" s="9" t="n"/>
      <c r="B140" s="10" t="n"/>
      <c r="C140" s="10" t="n"/>
      <c r="D140" s="10" t="n"/>
      <c r="E140" s="11">
        <f>IF($A140="","",MAX(0,(Financier!V140*0.4)+(Financier!S140*0.2)+(Operationnel!K140*0.2)-(IFERROR(Risque!B140/Financier!I140,0)*0.2)))</f>
        <v/>
      </c>
      <c r="F140" s="12">
        <f>IF($A140="","",ROUND(Social!B140*MAX(0,MIN(0.45,E140))*0.28,0))</f>
        <v/>
      </c>
      <c r="G140" s="12">
        <f>IF($A140="","",ROUND(Risque!B140*0.35,0))</f>
        <v/>
      </c>
    </row>
    <row r="141" ht="22" customHeight="1">
      <c r="A141" s="9" t="n"/>
      <c r="B141" s="10" t="n"/>
      <c r="C141" s="10" t="n"/>
      <c r="D141" s="10" t="n"/>
      <c r="E141" s="11">
        <f>IF($A141="","",MAX(0,(Financier!V141*0.4)+(Financier!S141*0.2)+(Operationnel!K141*0.2)-(IFERROR(Risque!B141/Financier!I141,0)*0.2)))</f>
        <v/>
      </c>
      <c r="F141" s="12">
        <f>IF($A141="","",ROUND(Social!B141*MAX(0,MIN(0.45,E141))*0.28,0))</f>
        <v/>
      </c>
      <c r="G141" s="12">
        <f>IF($A141="","",ROUND(Risque!B141*0.35,0))</f>
        <v/>
      </c>
    </row>
    <row r="142" ht="22" customHeight="1">
      <c r="A142" s="9" t="n"/>
      <c r="B142" s="10" t="n"/>
      <c r="C142" s="10" t="n"/>
      <c r="D142" s="10" t="n"/>
      <c r="E142" s="11">
        <f>IF($A142="","",MAX(0,(Financier!V142*0.4)+(Financier!S142*0.2)+(Operationnel!K142*0.2)-(IFERROR(Risque!B142/Financier!I142,0)*0.2)))</f>
        <v/>
      </c>
      <c r="F142" s="12">
        <f>IF($A142="","",ROUND(Social!B142*MAX(0,MIN(0.45,E142))*0.28,0))</f>
        <v/>
      </c>
      <c r="G142" s="12">
        <f>IF($A142="","",ROUND(Risque!B142*0.35,0))</f>
        <v/>
      </c>
    </row>
    <row r="143" ht="22" customHeight="1">
      <c r="A143" s="9" t="n"/>
      <c r="B143" s="10" t="n"/>
      <c r="C143" s="10" t="n"/>
      <c r="D143" s="10" t="n"/>
      <c r="E143" s="11">
        <f>IF($A143="","",MAX(0,(Financier!V143*0.4)+(Financier!S143*0.2)+(Operationnel!K143*0.2)-(IFERROR(Risque!B143/Financier!I143,0)*0.2)))</f>
        <v/>
      </c>
      <c r="F143" s="12">
        <f>IF($A143="","",ROUND(Social!B143*MAX(0,MIN(0.45,E143))*0.28,0))</f>
        <v/>
      </c>
      <c r="G143" s="12">
        <f>IF($A143="","",ROUND(Risque!B143*0.35,0))</f>
        <v/>
      </c>
    </row>
    <row r="144" ht="22" customHeight="1">
      <c r="A144" s="9" t="n"/>
      <c r="B144" s="10" t="n"/>
      <c r="C144" s="10" t="n"/>
      <c r="D144" s="10" t="n"/>
      <c r="E144" s="11">
        <f>IF($A144="","",MAX(0,(Financier!V144*0.4)+(Financier!S144*0.2)+(Operationnel!K144*0.2)-(IFERROR(Risque!B144/Financier!I144,0)*0.2)))</f>
        <v/>
      </c>
      <c r="F144" s="12">
        <f>IF($A144="","",ROUND(Social!B144*MAX(0,MIN(0.45,E144))*0.28,0))</f>
        <v/>
      </c>
      <c r="G144" s="12">
        <f>IF($A144="","",ROUND(Risque!B144*0.35,0))</f>
        <v/>
      </c>
    </row>
    <row r="145" ht="22" customHeight="1">
      <c r="A145" s="9" t="n"/>
      <c r="B145" s="10" t="n"/>
      <c r="C145" s="10" t="n"/>
      <c r="D145" s="10" t="n"/>
      <c r="E145" s="11">
        <f>IF($A145="","",MAX(0,(Financier!V145*0.4)+(Financier!S145*0.2)+(Operationnel!K145*0.2)-(IFERROR(Risque!B145/Financier!I145,0)*0.2)))</f>
        <v/>
      </c>
      <c r="F145" s="12">
        <f>IF($A145="","",ROUND(Social!B145*MAX(0,MIN(0.45,E145))*0.28,0))</f>
        <v/>
      </c>
      <c r="G145" s="12">
        <f>IF($A145="","",ROUND(Risque!B145*0.35,0))</f>
        <v/>
      </c>
    </row>
    <row r="146" ht="22" customHeight="1">
      <c r="A146" s="9" t="n"/>
      <c r="B146" s="10" t="n"/>
      <c r="C146" s="10" t="n"/>
      <c r="D146" s="10" t="n"/>
      <c r="E146" s="11">
        <f>IF($A146="","",MAX(0,(Financier!V146*0.4)+(Financier!S146*0.2)+(Operationnel!K146*0.2)-(IFERROR(Risque!B146/Financier!I146,0)*0.2)))</f>
        <v/>
      </c>
      <c r="F146" s="12">
        <f>IF($A146="","",ROUND(Social!B146*MAX(0,MIN(0.45,E146))*0.28,0))</f>
        <v/>
      </c>
      <c r="G146" s="12">
        <f>IF($A146="","",ROUND(Risque!B146*0.35,0))</f>
        <v/>
      </c>
    </row>
    <row r="147" ht="22" customHeight="1">
      <c r="A147" s="9" t="n"/>
      <c r="B147" s="10" t="n"/>
      <c r="C147" s="10" t="n"/>
      <c r="D147" s="10" t="n"/>
      <c r="E147" s="11">
        <f>IF($A147="","",MAX(0,(Financier!V147*0.4)+(Financier!S147*0.2)+(Operationnel!K147*0.2)-(IFERROR(Risque!B147/Financier!I147,0)*0.2)))</f>
        <v/>
      </c>
      <c r="F147" s="12">
        <f>IF($A147="","",ROUND(Social!B147*MAX(0,MIN(0.45,E147))*0.28,0))</f>
        <v/>
      </c>
      <c r="G147" s="12">
        <f>IF($A147="","",ROUND(Risque!B147*0.35,0))</f>
        <v/>
      </c>
    </row>
    <row r="148" ht="22" customHeight="1">
      <c r="A148" s="9" t="n"/>
      <c r="B148" s="10" t="n"/>
      <c r="C148" s="10" t="n"/>
      <c r="D148" s="10" t="n"/>
      <c r="E148" s="11">
        <f>IF($A148="","",MAX(0,(Financier!V148*0.4)+(Financier!S148*0.2)+(Operationnel!K148*0.2)-(IFERROR(Risque!B148/Financier!I148,0)*0.2)))</f>
        <v/>
      </c>
      <c r="F148" s="12">
        <f>IF($A148="","",ROUND(Social!B148*MAX(0,MIN(0.45,E148))*0.28,0))</f>
        <v/>
      </c>
      <c r="G148" s="12">
        <f>IF($A148="","",ROUND(Risque!B148*0.35,0))</f>
        <v/>
      </c>
    </row>
    <row r="149" ht="22" customHeight="1">
      <c r="A149" s="9" t="n"/>
      <c r="B149" s="10" t="n"/>
      <c r="C149" s="10" t="n"/>
      <c r="D149" s="10" t="n"/>
      <c r="E149" s="11">
        <f>IF($A149="","",MAX(0,(Financier!V149*0.4)+(Financier!S149*0.2)+(Operationnel!K149*0.2)-(IFERROR(Risque!B149/Financier!I149,0)*0.2)))</f>
        <v/>
      </c>
      <c r="F149" s="12">
        <f>IF($A149="","",ROUND(Social!B149*MAX(0,MIN(0.45,E149))*0.28,0))</f>
        <v/>
      </c>
      <c r="G149" s="12">
        <f>IF($A149="","",ROUND(Risque!B149*0.35,0))</f>
        <v/>
      </c>
    </row>
    <row r="150" ht="22" customHeight="1">
      <c r="A150" s="9" t="n"/>
      <c r="B150" s="10" t="n"/>
      <c r="C150" s="10" t="n"/>
      <c r="D150" s="10" t="n"/>
      <c r="E150" s="11">
        <f>IF($A150="","",MAX(0,(Financier!V150*0.4)+(Financier!S150*0.2)+(Operationnel!K150*0.2)-(IFERROR(Risque!B150/Financier!I150,0)*0.2)))</f>
        <v/>
      </c>
      <c r="F150" s="12">
        <f>IF($A150="","",ROUND(Social!B150*MAX(0,MIN(0.45,E150))*0.28,0))</f>
        <v/>
      </c>
      <c r="G150" s="12">
        <f>IF($A150="","",ROUND(Risque!B150*0.35,0))</f>
        <v/>
      </c>
    </row>
    <row r="151" ht="22" customHeight="1">
      <c r="A151" s="9" t="n"/>
      <c r="B151" s="10" t="n"/>
      <c r="C151" s="10" t="n"/>
      <c r="D151" s="10" t="n"/>
      <c r="E151" s="11">
        <f>IF($A151="","",MAX(0,(Financier!V151*0.4)+(Financier!S151*0.2)+(Operationnel!K151*0.2)-(IFERROR(Risque!B151/Financier!I151,0)*0.2)))</f>
        <v/>
      </c>
      <c r="F151" s="12">
        <f>IF($A151="","",ROUND(Social!B151*MAX(0,MIN(0.45,E151))*0.28,0))</f>
        <v/>
      </c>
      <c r="G151" s="12">
        <f>IF($A151="","",ROUND(Risque!B151*0.35,0))</f>
        <v/>
      </c>
    </row>
    <row r="152" ht="22" customHeight="1">
      <c r="A152" s="9" t="n"/>
      <c r="B152" s="10" t="n"/>
      <c r="C152" s="10" t="n"/>
      <c r="D152" s="10" t="n"/>
      <c r="E152" s="11">
        <f>IF($A152="","",MAX(0,(Financier!V152*0.4)+(Financier!S152*0.2)+(Operationnel!K152*0.2)-(IFERROR(Risque!B152/Financier!I152,0)*0.2)))</f>
        <v/>
      </c>
      <c r="F152" s="12">
        <f>IF($A152="","",ROUND(Social!B152*MAX(0,MIN(0.45,E152))*0.28,0))</f>
        <v/>
      </c>
      <c r="G152" s="12">
        <f>IF($A152="","",ROUND(Risque!B152*0.35,0))</f>
        <v/>
      </c>
    </row>
    <row r="153" ht="22" customHeight="1">
      <c r="A153" s="9" t="n"/>
      <c r="B153" s="10" t="n"/>
      <c r="C153" s="10" t="n"/>
      <c r="D153" s="10" t="n"/>
      <c r="E153" s="11">
        <f>IF($A153="","",MAX(0,(Financier!V153*0.4)+(Financier!S153*0.2)+(Operationnel!K153*0.2)-(IFERROR(Risque!B153/Financier!I153,0)*0.2)))</f>
        <v/>
      </c>
      <c r="F153" s="12">
        <f>IF($A153="","",ROUND(Social!B153*MAX(0,MIN(0.45,E153))*0.28,0))</f>
        <v/>
      </c>
      <c r="G153" s="12">
        <f>IF($A153="","",ROUND(Risque!B153*0.35,0))</f>
        <v/>
      </c>
    </row>
    <row r="154" ht="22" customHeight="1">
      <c r="A154" s="9" t="n"/>
      <c r="B154" s="10" t="n"/>
      <c r="C154" s="10" t="n"/>
      <c r="D154" s="10" t="n"/>
      <c r="E154" s="11">
        <f>IF($A154="","",MAX(0,(Financier!V154*0.4)+(Financier!S154*0.2)+(Operationnel!K154*0.2)-(IFERROR(Risque!B154/Financier!I154,0)*0.2)))</f>
        <v/>
      </c>
      <c r="F154" s="12">
        <f>IF($A154="","",ROUND(Social!B154*MAX(0,MIN(0.45,E154))*0.28,0))</f>
        <v/>
      </c>
      <c r="G154" s="12">
        <f>IF($A154="","",ROUND(Risque!B154*0.35,0))</f>
        <v/>
      </c>
    </row>
    <row r="155" ht="22" customHeight="1">
      <c r="A155" s="9" t="n"/>
      <c r="B155" s="10" t="n"/>
      <c r="C155" s="10" t="n"/>
      <c r="D155" s="10" t="n"/>
      <c r="E155" s="11">
        <f>IF($A155="","",MAX(0,(Financier!V155*0.4)+(Financier!S155*0.2)+(Operationnel!K155*0.2)-(IFERROR(Risque!B155/Financier!I155,0)*0.2)))</f>
        <v/>
      </c>
      <c r="F155" s="12">
        <f>IF($A155="","",ROUND(Social!B155*MAX(0,MIN(0.45,E155))*0.28,0))</f>
        <v/>
      </c>
      <c r="G155" s="12">
        <f>IF($A155="","",ROUND(Risque!B155*0.35,0))</f>
        <v/>
      </c>
    </row>
    <row r="156" ht="22" customHeight="1">
      <c r="A156" s="9" t="n"/>
      <c r="B156" s="10" t="n"/>
      <c r="C156" s="10" t="n"/>
      <c r="D156" s="10" t="n"/>
      <c r="E156" s="11">
        <f>IF($A156="","",MAX(0,(Financier!V156*0.4)+(Financier!S156*0.2)+(Operationnel!K156*0.2)-(IFERROR(Risque!B156/Financier!I156,0)*0.2)))</f>
        <v/>
      </c>
      <c r="F156" s="12">
        <f>IF($A156="","",ROUND(Social!B156*MAX(0,MIN(0.45,E156))*0.28,0))</f>
        <v/>
      </c>
      <c r="G156" s="12">
        <f>IF($A156="","",ROUND(Risque!B156*0.35,0))</f>
        <v/>
      </c>
    </row>
    <row r="157" ht="22" customHeight="1">
      <c r="A157" s="9" t="n"/>
      <c r="B157" s="10" t="n"/>
      <c r="C157" s="10" t="n"/>
      <c r="D157" s="10" t="n"/>
      <c r="E157" s="11">
        <f>IF($A157="","",MAX(0,(Financier!V157*0.4)+(Financier!S157*0.2)+(Operationnel!K157*0.2)-(IFERROR(Risque!B157/Financier!I157,0)*0.2)))</f>
        <v/>
      </c>
      <c r="F157" s="12">
        <f>IF($A157="","",ROUND(Social!B157*MAX(0,MIN(0.45,E157))*0.28,0))</f>
        <v/>
      </c>
      <c r="G157" s="12">
        <f>IF($A157="","",ROUND(Risque!B157*0.35,0))</f>
        <v/>
      </c>
    </row>
    <row r="158" ht="22" customHeight="1">
      <c r="A158" s="9" t="n"/>
      <c r="B158" s="10" t="n"/>
      <c r="C158" s="10" t="n"/>
      <c r="D158" s="10" t="n"/>
      <c r="E158" s="11">
        <f>IF($A158="","",MAX(0,(Financier!V158*0.4)+(Financier!S158*0.2)+(Operationnel!K158*0.2)-(IFERROR(Risque!B158/Financier!I158,0)*0.2)))</f>
        <v/>
      </c>
      <c r="F158" s="12">
        <f>IF($A158="","",ROUND(Social!B158*MAX(0,MIN(0.45,E158))*0.28,0))</f>
        <v/>
      </c>
      <c r="G158" s="12">
        <f>IF($A158="","",ROUND(Risque!B158*0.35,0))</f>
        <v/>
      </c>
    </row>
    <row r="159" ht="22" customHeight="1">
      <c r="A159" s="9" t="n"/>
      <c r="B159" s="10" t="n"/>
      <c r="C159" s="10" t="n"/>
      <c r="D159" s="10" t="n"/>
      <c r="E159" s="11">
        <f>IF($A159="","",MAX(0,(Financier!V159*0.4)+(Financier!S159*0.2)+(Operationnel!K159*0.2)-(IFERROR(Risque!B159/Financier!I159,0)*0.2)))</f>
        <v/>
      </c>
      <c r="F159" s="12">
        <f>IF($A159="","",ROUND(Social!B159*MAX(0,MIN(0.45,E159))*0.28,0))</f>
        <v/>
      </c>
      <c r="G159" s="12">
        <f>IF($A159="","",ROUND(Risque!B159*0.35,0))</f>
        <v/>
      </c>
    </row>
    <row r="160" ht="22" customHeight="1">
      <c r="A160" s="9" t="n"/>
      <c r="B160" s="10" t="n"/>
      <c r="C160" s="10" t="n"/>
      <c r="D160" s="10" t="n"/>
      <c r="E160" s="11">
        <f>IF($A160="","",MAX(0,(Financier!V160*0.4)+(Financier!S160*0.2)+(Operationnel!K160*0.2)-(IFERROR(Risque!B160/Financier!I160,0)*0.2)))</f>
        <v/>
      </c>
      <c r="F160" s="12">
        <f>IF($A160="","",ROUND(Social!B160*MAX(0,MIN(0.45,E160))*0.28,0))</f>
        <v/>
      </c>
      <c r="G160" s="12">
        <f>IF($A160="","",ROUND(Risque!B160*0.35,0))</f>
        <v/>
      </c>
    </row>
    <row r="161" ht="22" customHeight="1">
      <c r="A161" s="9" t="n"/>
      <c r="B161" s="10" t="n"/>
      <c r="C161" s="10" t="n"/>
      <c r="D161" s="10" t="n"/>
      <c r="E161" s="11">
        <f>IF($A161="","",MAX(0,(Financier!V161*0.4)+(Financier!S161*0.2)+(Operationnel!K161*0.2)-(IFERROR(Risque!B161/Financier!I161,0)*0.2)))</f>
        <v/>
      </c>
      <c r="F161" s="12">
        <f>IF($A161="","",ROUND(Social!B161*MAX(0,MIN(0.45,E161))*0.28,0))</f>
        <v/>
      </c>
      <c r="G161" s="12">
        <f>IF($A161="","",ROUND(Risque!B161*0.35,0))</f>
        <v/>
      </c>
    </row>
    <row r="162" ht="22" customHeight="1">
      <c r="A162" s="9" t="n"/>
      <c r="B162" s="10" t="n"/>
      <c r="C162" s="10" t="n"/>
      <c r="D162" s="10" t="n"/>
      <c r="E162" s="11">
        <f>IF($A162="","",MAX(0,(Financier!V162*0.4)+(Financier!S162*0.2)+(Operationnel!K162*0.2)-(IFERROR(Risque!B162/Financier!I162,0)*0.2)))</f>
        <v/>
      </c>
      <c r="F162" s="12">
        <f>IF($A162="","",ROUND(Social!B162*MAX(0,MIN(0.45,E162))*0.28,0))</f>
        <v/>
      </c>
      <c r="G162" s="12">
        <f>IF($A162="","",ROUND(Risque!B162*0.35,0))</f>
        <v/>
      </c>
    </row>
    <row r="163" ht="22" customHeight="1">
      <c r="A163" s="9" t="n"/>
      <c r="B163" s="10" t="n"/>
      <c r="C163" s="10" t="n"/>
      <c r="D163" s="10" t="n"/>
      <c r="E163" s="11">
        <f>IF($A163="","",MAX(0,(Financier!V163*0.4)+(Financier!S163*0.2)+(Operationnel!K163*0.2)-(IFERROR(Risque!B163/Financier!I163,0)*0.2)))</f>
        <v/>
      </c>
      <c r="F163" s="12">
        <f>IF($A163="","",ROUND(Social!B163*MAX(0,MIN(0.45,E163))*0.28,0))</f>
        <v/>
      </c>
      <c r="G163" s="12">
        <f>IF($A163="","",ROUND(Risque!B163*0.35,0))</f>
        <v/>
      </c>
    </row>
    <row r="164" ht="22" customHeight="1">
      <c r="A164" s="9" t="n"/>
      <c r="B164" s="10" t="n"/>
      <c r="C164" s="10" t="n"/>
      <c r="D164" s="10" t="n"/>
      <c r="E164" s="11">
        <f>IF($A164="","",MAX(0,(Financier!V164*0.4)+(Financier!S164*0.2)+(Operationnel!K164*0.2)-(IFERROR(Risque!B164/Financier!I164,0)*0.2)))</f>
        <v/>
      </c>
      <c r="F164" s="12">
        <f>IF($A164="","",ROUND(Social!B164*MAX(0,MIN(0.45,E164))*0.28,0))</f>
        <v/>
      </c>
      <c r="G164" s="12">
        <f>IF($A164="","",ROUND(Risque!B164*0.35,0))</f>
        <v/>
      </c>
    </row>
    <row r="165" ht="22" customHeight="1">
      <c r="A165" s="9" t="n"/>
      <c r="B165" s="10" t="n"/>
      <c r="C165" s="10" t="n"/>
      <c r="D165" s="10" t="n"/>
      <c r="E165" s="11">
        <f>IF($A165="","",MAX(0,(Financier!V165*0.4)+(Financier!S165*0.2)+(Operationnel!K165*0.2)-(IFERROR(Risque!B165/Financier!I165,0)*0.2)))</f>
        <v/>
      </c>
      <c r="F165" s="12">
        <f>IF($A165="","",ROUND(Social!B165*MAX(0,MIN(0.45,E165))*0.28,0))</f>
        <v/>
      </c>
      <c r="G165" s="12">
        <f>IF($A165="","",ROUND(Risque!B165*0.35,0))</f>
        <v/>
      </c>
    </row>
    <row r="166" ht="22" customHeight="1">
      <c r="A166" s="9" t="n"/>
      <c r="B166" s="10" t="n"/>
      <c r="C166" s="10" t="n"/>
      <c r="D166" s="10" t="n"/>
      <c r="E166" s="11">
        <f>IF($A166="","",MAX(0,(Financier!V166*0.4)+(Financier!S166*0.2)+(Operationnel!K166*0.2)-(IFERROR(Risque!B166/Financier!I166,0)*0.2)))</f>
        <v/>
      </c>
      <c r="F166" s="12">
        <f>IF($A166="","",ROUND(Social!B166*MAX(0,MIN(0.45,E166))*0.28,0))</f>
        <v/>
      </c>
      <c r="G166" s="12">
        <f>IF($A166="","",ROUND(Risque!B166*0.35,0))</f>
        <v/>
      </c>
    </row>
    <row r="167" ht="22" customHeight="1">
      <c r="A167" s="9" t="n"/>
      <c r="B167" s="10" t="n"/>
      <c r="C167" s="10" t="n"/>
      <c r="D167" s="10" t="n"/>
      <c r="E167" s="11">
        <f>IF($A167="","",MAX(0,(Financier!V167*0.4)+(Financier!S167*0.2)+(Operationnel!K167*0.2)-(IFERROR(Risque!B167/Financier!I167,0)*0.2)))</f>
        <v/>
      </c>
      <c r="F167" s="12">
        <f>IF($A167="","",ROUND(Social!B167*MAX(0,MIN(0.45,E167))*0.28,0))</f>
        <v/>
      </c>
      <c r="G167" s="12">
        <f>IF($A167="","",ROUND(Risque!B167*0.35,0))</f>
        <v/>
      </c>
    </row>
    <row r="168" ht="22" customHeight="1">
      <c r="A168" s="9" t="n"/>
      <c r="B168" s="10" t="n"/>
      <c r="C168" s="10" t="n"/>
      <c r="D168" s="10" t="n"/>
      <c r="E168" s="11">
        <f>IF($A168="","",MAX(0,(Financier!V168*0.4)+(Financier!S168*0.2)+(Operationnel!K168*0.2)-(IFERROR(Risque!B168/Financier!I168,0)*0.2)))</f>
        <v/>
      </c>
      <c r="F168" s="12">
        <f>IF($A168="","",ROUND(Social!B168*MAX(0,MIN(0.45,E168))*0.28,0))</f>
        <v/>
      </c>
      <c r="G168" s="12">
        <f>IF($A168="","",ROUND(Risque!B168*0.35,0))</f>
        <v/>
      </c>
    </row>
    <row r="169" ht="22" customHeight="1">
      <c r="A169" s="9" t="n"/>
      <c r="B169" s="10" t="n"/>
      <c r="C169" s="10" t="n"/>
      <c r="D169" s="10" t="n"/>
      <c r="E169" s="11">
        <f>IF($A169="","",MAX(0,(Financier!V169*0.4)+(Financier!S169*0.2)+(Operationnel!K169*0.2)-(IFERROR(Risque!B169/Financier!I169,0)*0.2)))</f>
        <v/>
      </c>
      <c r="F169" s="12">
        <f>IF($A169="","",ROUND(Social!B169*MAX(0,MIN(0.45,E169))*0.28,0))</f>
        <v/>
      </c>
      <c r="G169" s="12">
        <f>IF($A169="","",ROUND(Risque!B169*0.35,0))</f>
        <v/>
      </c>
    </row>
    <row r="170" ht="22" customHeight="1">
      <c r="A170" s="9" t="n"/>
      <c r="B170" s="10" t="n"/>
      <c r="C170" s="10" t="n"/>
      <c r="D170" s="10" t="n"/>
      <c r="E170" s="11">
        <f>IF($A170="","",MAX(0,(Financier!V170*0.4)+(Financier!S170*0.2)+(Operationnel!K170*0.2)-(IFERROR(Risque!B170/Financier!I170,0)*0.2)))</f>
        <v/>
      </c>
      <c r="F170" s="12">
        <f>IF($A170="","",ROUND(Social!B170*MAX(0,MIN(0.45,E170))*0.28,0))</f>
        <v/>
      </c>
      <c r="G170" s="12">
        <f>IF($A170="","",ROUND(Risque!B170*0.35,0))</f>
        <v/>
      </c>
    </row>
    <row r="171" ht="22" customHeight="1">
      <c r="A171" s="9" t="n"/>
      <c r="B171" s="10" t="n"/>
      <c r="C171" s="10" t="n"/>
      <c r="D171" s="10" t="n"/>
      <c r="E171" s="11">
        <f>IF($A171="","",MAX(0,(Financier!V171*0.4)+(Financier!S171*0.2)+(Operationnel!K171*0.2)-(IFERROR(Risque!B171/Financier!I171,0)*0.2)))</f>
        <v/>
      </c>
      <c r="F171" s="12">
        <f>IF($A171="","",ROUND(Social!B171*MAX(0,MIN(0.45,E171))*0.28,0))</f>
        <v/>
      </c>
      <c r="G171" s="12">
        <f>IF($A171="","",ROUND(Risque!B171*0.35,0))</f>
        <v/>
      </c>
    </row>
    <row r="172" ht="22" customHeight="1">
      <c r="A172" s="9" t="n"/>
      <c r="B172" s="10" t="n"/>
      <c r="C172" s="10" t="n"/>
      <c r="D172" s="10" t="n"/>
      <c r="E172" s="11">
        <f>IF($A172="","",MAX(0,(Financier!V172*0.4)+(Financier!S172*0.2)+(Operationnel!K172*0.2)-(IFERROR(Risque!B172/Financier!I172,0)*0.2)))</f>
        <v/>
      </c>
      <c r="F172" s="12">
        <f>IF($A172="","",ROUND(Social!B172*MAX(0,MIN(0.45,E172))*0.28,0))</f>
        <v/>
      </c>
      <c r="G172" s="12">
        <f>IF($A172="","",ROUND(Risque!B172*0.35,0))</f>
        <v/>
      </c>
    </row>
    <row r="173" ht="22" customHeight="1">
      <c r="A173" s="9" t="n"/>
      <c r="B173" s="10" t="n"/>
      <c r="C173" s="10" t="n"/>
      <c r="D173" s="10" t="n"/>
      <c r="E173" s="11">
        <f>IF($A173="","",MAX(0,(Financier!V173*0.4)+(Financier!S173*0.2)+(Operationnel!K173*0.2)-(IFERROR(Risque!B173/Financier!I173,0)*0.2)))</f>
        <v/>
      </c>
      <c r="F173" s="12">
        <f>IF($A173="","",ROUND(Social!B173*MAX(0,MIN(0.45,E173))*0.28,0))</f>
        <v/>
      </c>
      <c r="G173" s="12">
        <f>IF($A173="","",ROUND(Risque!B173*0.35,0))</f>
        <v/>
      </c>
    </row>
    <row r="174" ht="22" customHeight="1">
      <c r="A174" s="9" t="n"/>
      <c r="B174" s="10" t="n"/>
      <c r="C174" s="10" t="n"/>
      <c r="D174" s="10" t="n"/>
      <c r="E174" s="11">
        <f>IF($A174="","",MAX(0,(Financier!V174*0.4)+(Financier!S174*0.2)+(Operationnel!K174*0.2)-(IFERROR(Risque!B174/Financier!I174,0)*0.2)))</f>
        <v/>
      </c>
      <c r="F174" s="12">
        <f>IF($A174="","",ROUND(Social!B174*MAX(0,MIN(0.45,E174))*0.28,0))</f>
        <v/>
      </c>
      <c r="G174" s="12">
        <f>IF($A174="","",ROUND(Risque!B174*0.35,0))</f>
        <v/>
      </c>
    </row>
    <row r="175" ht="22" customHeight="1">
      <c r="A175" s="9" t="n"/>
      <c r="B175" s="10" t="n"/>
      <c r="C175" s="10" t="n"/>
      <c r="D175" s="10" t="n"/>
      <c r="E175" s="11">
        <f>IF($A175="","",MAX(0,(Financier!V175*0.4)+(Financier!S175*0.2)+(Operationnel!K175*0.2)-(IFERROR(Risque!B175/Financier!I175,0)*0.2)))</f>
        <v/>
      </c>
      <c r="F175" s="12">
        <f>IF($A175="","",ROUND(Social!B175*MAX(0,MIN(0.45,E175))*0.28,0))</f>
        <v/>
      </c>
      <c r="G175" s="12">
        <f>IF($A175="","",ROUND(Risque!B175*0.35,0))</f>
        <v/>
      </c>
    </row>
    <row r="176" ht="22" customHeight="1">
      <c r="A176" s="9" t="n"/>
      <c r="B176" s="10" t="n"/>
      <c r="C176" s="10" t="n"/>
      <c r="D176" s="10" t="n"/>
      <c r="E176" s="11">
        <f>IF($A176="","",MAX(0,(Financier!V176*0.4)+(Financier!S176*0.2)+(Operationnel!K176*0.2)-(IFERROR(Risque!B176/Financier!I176,0)*0.2)))</f>
        <v/>
      </c>
      <c r="F176" s="12">
        <f>IF($A176="","",ROUND(Social!B176*MAX(0,MIN(0.45,E176))*0.28,0))</f>
        <v/>
      </c>
      <c r="G176" s="12">
        <f>IF($A176="","",ROUND(Risque!B176*0.35,0))</f>
        <v/>
      </c>
    </row>
    <row r="177" ht="22" customHeight="1">
      <c r="A177" s="9" t="n"/>
      <c r="B177" s="10" t="n"/>
      <c r="C177" s="10" t="n"/>
      <c r="D177" s="10" t="n"/>
      <c r="E177" s="11">
        <f>IF($A177="","",MAX(0,(Financier!V177*0.4)+(Financier!S177*0.2)+(Operationnel!K177*0.2)-(IFERROR(Risque!B177/Financier!I177,0)*0.2)))</f>
        <v/>
      </c>
      <c r="F177" s="12">
        <f>IF($A177="","",ROUND(Social!B177*MAX(0,MIN(0.45,E177))*0.28,0))</f>
        <v/>
      </c>
      <c r="G177" s="12">
        <f>IF($A177="","",ROUND(Risque!B177*0.35,0))</f>
        <v/>
      </c>
    </row>
    <row r="178" ht="22" customHeight="1">
      <c r="A178" s="9" t="n"/>
      <c r="B178" s="10" t="n"/>
      <c r="C178" s="10" t="n"/>
      <c r="D178" s="10" t="n"/>
      <c r="E178" s="11">
        <f>IF($A178="","",MAX(0,(Financier!V178*0.4)+(Financier!S178*0.2)+(Operationnel!K178*0.2)-(IFERROR(Risque!B178/Financier!I178,0)*0.2)))</f>
        <v/>
      </c>
      <c r="F178" s="12">
        <f>IF($A178="","",ROUND(Social!B178*MAX(0,MIN(0.45,E178))*0.28,0))</f>
        <v/>
      </c>
      <c r="G178" s="12">
        <f>IF($A178="","",ROUND(Risque!B178*0.35,0))</f>
        <v/>
      </c>
    </row>
    <row r="179" ht="22" customHeight="1">
      <c r="A179" s="9" t="n"/>
      <c r="B179" s="10" t="n"/>
      <c r="C179" s="10" t="n"/>
      <c r="D179" s="10" t="n"/>
      <c r="E179" s="11">
        <f>IF($A179="","",MAX(0,(Financier!V179*0.4)+(Financier!S179*0.2)+(Operationnel!K179*0.2)-(IFERROR(Risque!B179/Financier!I179,0)*0.2)))</f>
        <v/>
      </c>
      <c r="F179" s="12">
        <f>IF($A179="","",ROUND(Social!B179*MAX(0,MIN(0.45,E179))*0.28,0))</f>
        <v/>
      </c>
      <c r="G179" s="12">
        <f>IF($A179="","",ROUND(Risque!B179*0.35,0))</f>
        <v/>
      </c>
    </row>
    <row r="180" ht="22" customHeight="1">
      <c r="A180" s="9" t="n"/>
      <c r="B180" s="10" t="n"/>
      <c r="C180" s="10" t="n"/>
      <c r="D180" s="10" t="n"/>
      <c r="E180" s="11">
        <f>IF($A180="","",MAX(0,(Financier!V180*0.4)+(Financier!S180*0.2)+(Operationnel!K180*0.2)-(IFERROR(Risque!B180/Financier!I180,0)*0.2)))</f>
        <v/>
      </c>
      <c r="F180" s="12">
        <f>IF($A180="","",ROUND(Social!B180*MAX(0,MIN(0.45,E180))*0.28,0))</f>
        <v/>
      </c>
      <c r="G180" s="12">
        <f>IF($A180="","",ROUND(Risque!B180*0.35,0))</f>
        <v/>
      </c>
    </row>
    <row r="181" ht="22" customHeight="1">
      <c r="A181" s="9" t="n"/>
      <c r="B181" s="10" t="n"/>
      <c r="C181" s="10" t="n"/>
      <c r="D181" s="10" t="n"/>
      <c r="E181" s="11">
        <f>IF($A181="","",MAX(0,(Financier!V181*0.4)+(Financier!S181*0.2)+(Operationnel!K181*0.2)-(IFERROR(Risque!B181/Financier!I181,0)*0.2)))</f>
        <v/>
      </c>
      <c r="F181" s="12">
        <f>IF($A181="","",ROUND(Social!B181*MAX(0,MIN(0.45,E181))*0.28,0))</f>
        <v/>
      </c>
      <c r="G181" s="12">
        <f>IF($A181="","",ROUND(Risque!B181*0.35,0))</f>
        <v/>
      </c>
    </row>
    <row r="182" ht="22" customHeight="1">
      <c r="A182" s="9" t="n"/>
      <c r="B182" s="10" t="n"/>
      <c r="C182" s="10" t="n"/>
      <c r="D182" s="10" t="n"/>
      <c r="E182" s="11">
        <f>IF($A182="","",MAX(0,(Financier!V182*0.4)+(Financier!S182*0.2)+(Operationnel!K182*0.2)-(IFERROR(Risque!B182/Financier!I182,0)*0.2)))</f>
        <v/>
      </c>
      <c r="F182" s="12">
        <f>IF($A182="","",ROUND(Social!B182*MAX(0,MIN(0.45,E182))*0.28,0))</f>
        <v/>
      </c>
      <c r="G182" s="12">
        <f>IF($A182="","",ROUND(Risque!B182*0.35,0))</f>
        <v/>
      </c>
    </row>
    <row r="183" ht="22" customHeight="1">
      <c r="A183" s="9" t="n"/>
      <c r="B183" s="10" t="n"/>
      <c r="C183" s="10" t="n"/>
      <c r="D183" s="10" t="n"/>
      <c r="E183" s="11">
        <f>IF($A183="","",MAX(0,(Financier!V183*0.4)+(Financier!S183*0.2)+(Operationnel!K183*0.2)-(IFERROR(Risque!B183/Financier!I183,0)*0.2)))</f>
        <v/>
      </c>
      <c r="F183" s="12">
        <f>IF($A183="","",ROUND(Social!B183*MAX(0,MIN(0.45,E183))*0.28,0))</f>
        <v/>
      </c>
      <c r="G183" s="12">
        <f>IF($A183="","",ROUND(Risque!B183*0.35,0))</f>
        <v/>
      </c>
    </row>
    <row r="184" ht="22" customHeight="1">
      <c r="A184" s="9" t="n"/>
      <c r="B184" s="10" t="n"/>
      <c r="C184" s="10" t="n"/>
      <c r="D184" s="10" t="n"/>
      <c r="E184" s="11">
        <f>IF($A184="","",MAX(0,(Financier!V184*0.4)+(Financier!S184*0.2)+(Operationnel!K184*0.2)-(IFERROR(Risque!B184/Financier!I184,0)*0.2)))</f>
        <v/>
      </c>
      <c r="F184" s="12">
        <f>IF($A184="","",ROUND(Social!B184*MAX(0,MIN(0.45,E184))*0.28,0))</f>
        <v/>
      </c>
      <c r="G184" s="12">
        <f>IF($A184="","",ROUND(Risque!B184*0.35,0))</f>
        <v/>
      </c>
    </row>
    <row r="185" ht="22" customHeight="1">
      <c r="A185" s="9" t="n"/>
      <c r="B185" s="10" t="n"/>
      <c r="C185" s="10" t="n"/>
      <c r="D185" s="10" t="n"/>
      <c r="E185" s="11">
        <f>IF($A185="","",MAX(0,(Financier!V185*0.4)+(Financier!S185*0.2)+(Operationnel!K185*0.2)-(IFERROR(Risque!B185/Financier!I185,0)*0.2)))</f>
        <v/>
      </c>
      <c r="F185" s="12">
        <f>IF($A185="","",ROUND(Social!B185*MAX(0,MIN(0.45,E185))*0.28,0))</f>
        <v/>
      </c>
      <c r="G185" s="12">
        <f>IF($A185="","",ROUND(Risque!B185*0.35,0))</f>
        <v/>
      </c>
    </row>
    <row r="186" ht="22" customHeight="1">
      <c r="A186" s="9" t="n"/>
      <c r="B186" s="10" t="n"/>
      <c r="C186" s="10" t="n"/>
      <c r="D186" s="10" t="n"/>
      <c r="E186" s="11">
        <f>IF($A186="","",MAX(0,(Financier!V186*0.4)+(Financier!S186*0.2)+(Operationnel!K186*0.2)-(IFERROR(Risque!B186/Financier!I186,0)*0.2)))</f>
        <v/>
      </c>
      <c r="F186" s="12">
        <f>IF($A186="","",ROUND(Social!B186*MAX(0,MIN(0.45,E186))*0.28,0))</f>
        <v/>
      </c>
      <c r="G186" s="12">
        <f>IF($A186="","",ROUND(Risque!B186*0.35,0))</f>
        <v/>
      </c>
    </row>
    <row r="187" ht="22" customHeight="1">
      <c r="A187" s="9" t="n"/>
      <c r="B187" s="10" t="n"/>
      <c r="C187" s="10" t="n"/>
      <c r="D187" s="10" t="n"/>
      <c r="E187" s="11">
        <f>IF($A187="","",MAX(0,(Financier!V187*0.4)+(Financier!S187*0.2)+(Operationnel!K187*0.2)-(IFERROR(Risque!B187/Financier!I187,0)*0.2)))</f>
        <v/>
      </c>
      <c r="F187" s="12">
        <f>IF($A187="","",ROUND(Social!B187*MAX(0,MIN(0.45,E187))*0.28,0))</f>
        <v/>
      </c>
      <c r="G187" s="12">
        <f>IF($A187="","",ROUND(Risque!B187*0.35,0))</f>
        <v/>
      </c>
    </row>
    <row r="188" ht="22" customHeight="1">
      <c r="A188" s="9" t="n"/>
      <c r="B188" s="10" t="n"/>
      <c r="C188" s="10" t="n"/>
      <c r="D188" s="10" t="n"/>
      <c r="E188" s="11">
        <f>IF($A188="","",MAX(0,(Financier!V188*0.4)+(Financier!S188*0.2)+(Operationnel!K188*0.2)-(IFERROR(Risque!B188/Financier!I188,0)*0.2)))</f>
        <v/>
      </c>
      <c r="F188" s="12">
        <f>IF($A188="","",ROUND(Social!B188*MAX(0,MIN(0.45,E188))*0.28,0))</f>
        <v/>
      </c>
      <c r="G188" s="12">
        <f>IF($A188="","",ROUND(Risque!B188*0.35,0))</f>
        <v/>
      </c>
    </row>
    <row r="189" ht="22" customHeight="1">
      <c r="A189" s="9" t="n"/>
      <c r="B189" s="10" t="n"/>
      <c r="C189" s="10" t="n"/>
      <c r="D189" s="10" t="n"/>
      <c r="E189" s="11">
        <f>IF($A189="","",MAX(0,(Financier!V189*0.4)+(Financier!S189*0.2)+(Operationnel!K189*0.2)-(IFERROR(Risque!B189/Financier!I189,0)*0.2)))</f>
        <v/>
      </c>
      <c r="F189" s="12">
        <f>IF($A189="","",ROUND(Social!B189*MAX(0,MIN(0.45,E189))*0.28,0))</f>
        <v/>
      </c>
      <c r="G189" s="12">
        <f>IF($A189="","",ROUND(Risque!B189*0.35,0))</f>
        <v/>
      </c>
    </row>
    <row r="190" ht="22" customHeight="1">
      <c r="A190" s="9" t="n"/>
      <c r="B190" s="10" t="n"/>
      <c r="C190" s="10" t="n"/>
      <c r="D190" s="10" t="n"/>
      <c r="E190" s="11">
        <f>IF($A190="","",MAX(0,(Financier!V190*0.4)+(Financier!S190*0.2)+(Operationnel!K190*0.2)-(IFERROR(Risque!B190/Financier!I190,0)*0.2)))</f>
        <v/>
      </c>
      <c r="F190" s="12">
        <f>IF($A190="","",ROUND(Social!B190*MAX(0,MIN(0.45,E190))*0.28,0))</f>
        <v/>
      </c>
      <c r="G190" s="12">
        <f>IF($A190="","",ROUND(Risque!B190*0.35,0))</f>
        <v/>
      </c>
    </row>
    <row r="191" ht="22" customHeight="1">
      <c r="A191" s="9" t="n"/>
      <c r="B191" s="10" t="n"/>
      <c r="C191" s="10" t="n"/>
      <c r="D191" s="10" t="n"/>
      <c r="E191" s="11">
        <f>IF($A191="","",MAX(0,(Financier!V191*0.4)+(Financier!S191*0.2)+(Operationnel!K191*0.2)-(IFERROR(Risque!B191/Financier!I191,0)*0.2)))</f>
        <v/>
      </c>
      <c r="F191" s="12">
        <f>IF($A191="","",ROUND(Social!B191*MAX(0,MIN(0.45,E191))*0.28,0))</f>
        <v/>
      </c>
      <c r="G191" s="12">
        <f>IF($A191="","",ROUND(Risque!B191*0.35,0))</f>
        <v/>
      </c>
    </row>
    <row r="192" ht="22" customHeight="1">
      <c r="A192" s="9" t="n"/>
      <c r="B192" s="10" t="n"/>
      <c r="C192" s="10" t="n"/>
      <c r="D192" s="10" t="n"/>
      <c r="E192" s="11">
        <f>IF($A192="","",MAX(0,(Financier!V192*0.4)+(Financier!S192*0.2)+(Operationnel!K192*0.2)-(IFERROR(Risque!B192/Financier!I192,0)*0.2)))</f>
        <v/>
      </c>
      <c r="F192" s="12">
        <f>IF($A192="","",ROUND(Social!B192*MAX(0,MIN(0.45,E192))*0.28,0))</f>
        <v/>
      </c>
      <c r="G192" s="12">
        <f>IF($A192="","",ROUND(Risque!B192*0.35,0))</f>
        <v/>
      </c>
    </row>
    <row r="193" ht="22" customHeight="1">
      <c r="A193" s="9" t="n"/>
      <c r="B193" s="10" t="n"/>
      <c r="C193" s="10" t="n"/>
      <c r="D193" s="10" t="n"/>
      <c r="E193" s="11">
        <f>IF($A193="","",MAX(0,(Financier!V193*0.4)+(Financier!S193*0.2)+(Operationnel!K193*0.2)-(IFERROR(Risque!B193/Financier!I193,0)*0.2)))</f>
        <v/>
      </c>
      <c r="F193" s="12">
        <f>IF($A193="","",ROUND(Social!B193*MAX(0,MIN(0.45,E193))*0.28,0))</f>
        <v/>
      </c>
      <c r="G193" s="12">
        <f>IF($A193="","",ROUND(Risque!B193*0.35,0))</f>
        <v/>
      </c>
    </row>
    <row r="194" ht="22" customHeight="1">
      <c r="A194" s="9" t="n"/>
      <c r="B194" s="10" t="n"/>
      <c r="C194" s="10" t="n"/>
      <c r="D194" s="10" t="n"/>
      <c r="E194" s="11">
        <f>IF($A194="","",MAX(0,(Financier!V194*0.4)+(Financier!S194*0.2)+(Operationnel!K194*0.2)-(IFERROR(Risque!B194/Financier!I194,0)*0.2)))</f>
        <v/>
      </c>
      <c r="F194" s="12">
        <f>IF($A194="","",ROUND(Social!B194*MAX(0,MIN(0.45,E194))*0.28,0))</f>
        <v/>
      </c>
      <c r="G194" s="12">
        <f>IF($A194="","",ROUND(Risque!B194*0.35,0))</f>
        <v/>
      </c>
    </row>
    <row r="195" ht="22" customHeight="1">
      <c r="A195" s="9" t="n"/>
      <c r="B195" s="10" t="n"/>
      <c r="C195" s="10" t="n"/>
      <c r="D195" s="10" t="n"/>
      <c r="E195" s="11">
        <f>IF($A195="","",MAX(0,(Financier!V195*0.4)+(Financier!S195*0.2)+(Operationnel!K195*0.2)-(IFERROR(Risque!B195/Financier!I195,0)*0.2)))</f>
        <v/>
      </c>
      <c r="F195" s="12">
        <f>IF($A195="","",ROUND(Social!B195*MAX(0,MIN(0.45,E195))*0.28,0))</f>
        <v/>
      </c>
      <c r="G195" s="12">
        <f>IF($A195="","",ROUND(Risque!B195*0.35,0))</f>
        <v/>
      </c>
    </row>
    <row r="196" ht="22" customHeight="1">
      <c r="A196" s="9" t="n"/>
      <c r="B196" s="10" t="n"/>
      <c r="C196" s="10" t="n"/>
      <c r="D196" s="10" t="n"/>
      <c r="E196" s="11">
        <f>IF($A196="","",MAX(0,(Financier!V196*0.4)+(Financier!S196*0.2)+(Operationnel!K196*0.2)-(IFERROR(Risque!B196/Financier!I196,0)*0.2)))</f>
        <v/>
      </c>
      <c r="F196" s="12">
        <f>IF($A196="","",ROUND(Social!B196*MAX(0,MIN(0.45,E196))*0.28,0))</f>
        <v/>
      </c>
      <c r="G196" s="12">
        <f>IF($A196="","",ROUND(Risque!B196*0.35,0))</f>
        <v/>
      </c>
    </row>
    <row r="197" ht="22" customHeight="1">
      <c r="A197" s="9" t="n"/>
      <c r="B197" s="10" t="n"/>
      <c r="C197" s="10" t="n"/>
      <c r="D197" s="10" t="n"/>
      <c r="E197" s="11">
        <f>IF($A197="","",MAX(0,(Financier!V197*0.4)+(Financier!S197*0.2)+(Operationnel!K197*0.2)-(IFERROR(Risque!B197/Financier!I197,0)*0.2)))</f>
        <v/>
      </c>
      <c r="F197" s="12">
        <f>IF($A197="","",ROUND(Social!B197*MAX(0,MIN(0.45,E197))*0.28,0))</f>
        <v/>
      </c>
      <c r="G197" s="12">
        <f>IF($A197="","",ROUND(Risque!B197*0.35,0))</f>
        <v/>
      </c>
    </row>
    <row r="198" ht="22" customHeight="1">
      <c r="A198" s="9" t="n"/>
      <c r="B198" s="10" t="n"/>
      <c r="C198" s="10" t="n"/>
      <c r="D198" s="10" t="n"/>
      <c r="E198" s="11">
        <f>IF($A198="","",MAX(0,(Financier!V198*0.4)+(Financier!S198*0.2)+(Operationnel!K198*0.2)-(IFERROR(Risque!B198/Financier!I198,0)*0.2)))</f>
        <v/>
      </c>
      <c r="F198" s="12">
        <f>IF($A198="","",ROUND(Social!B198*MAX(0,MIN(0.45,E198))*0.28,0))</f>
        <v/>
      </c>
      <c r="G198" s="12">
        <f>IF($A198="","",ROUND(Risque!B198*0.35,0))</f>
        <v/>
      </c>
    </row>
    <row r="199" ht="22" customHeight="1">
      <c r="A199" s="9" t="n"/>
      <c r="B199" s="10" t="n"/>
      <c r="C199" s="10" t="n"/>
      <c r="D199" s="10" t="n"/>
      <c r="E199" s="11">
        <f>IF($A199="","",MAX(0,(Financier!V199*0.4)+(Financier!S199*0.2)+(Operationnel!K199*0.2)-(IFERROR(Risque!B199/Financier!I199,0)*0.2)))</f>
        <v/>
      </c>
      <c r="F199" s="12">
        <f>IF($A199="","",ROUND(Social!B199*MAX(0,MIN(0.45,E199))*0.28,0))</f>
        <v/>
      </c>
      <c r="G199" s="12">
        <f>IF($A199="","",ROUND(Risque!B199*0.35,0))</f>
        <v/>
      </c>
    </row>
    <row r="200" ht="22" customHeight="1">
      <c r="A200" s="9" t="n"/>
      <c r="B200" s="10" t="n"/>
      <c r="C200" s="10" t="n"/>
      <c r="D200" s="10" t="n"/>
      <c r="E200" s="11">
        <f>IF($A200="","",MAX(0,(Financier!V200*0.4)+(Financier!S200*0.2)+(Operationnel!K200*0.2)-(IFERROR(Risque!B200/Financier!I200,0)*0.2)))</f>
        <v/>
      </c>
      <c r="F200" s="12">
        <f>IF($A200="","",ROUND(Social!B200*MAX(0,MIN(0.45,E200))*0.28,0))</f>
        <v/>
      </c>
      <c r="G200" s="12">
        <f>IF($A200="","",ROUND(Risque!B200*0.35,0))</f>
        <v/>
      </c>
    </row>
  </sheetData>
  <autoFilter ref="A1:G200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D1D5DB"/>
    <outlinePr summaryBelow="1" summaryRight="1"/>
    <pageSetUpPr/>
  </sheetPr>
  <dimension ref="A1:H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20" customWidth="1" min="3" max="3"/>
    <col width="14" customWidth="1" min="4" max="4"/>
    <col width="18" customWidth="1" min="5" max="5"/>
    <col width="19" customWidth="1" min="6" max="6"/>
    <col width="14" customWidth="1" min="7" max="7"/>
    <col width="16" customWidth="1" min="8" max="8"/>
  </cols>
  <sheetData>
    <row r="1" ht="30" customHeight="1">
      <c r="A1" s="7" t="inlineStr">
        <is>
          <t>date</t>
        </is>
      </c>
      <c r="B1" s="7" t="inlineStr">
        <is>
          <t>bloc_kpi</t>
        </is>
      </c>
      <c r="C1" s="7" t="inlineStr">
        <is>
          <t>indicateur</t>
        </is>
      </c>
      <c r="D1" s="7" t="inlineStr">
        <is>
          <t>code</t>
        </is>
      </c>
      <c r="E1" s="7" t="inlineStr">
        <is>
          <t>beneficiaire</t>
        </is>
      </c>
      <c r="F1" s="7" t="inlineStr">
        <is>
          <t>telephone</t>
        </is>
      </c>
      <c r="G1" s="7" t="inlineStr">
        <is>
          <t>moto</t>
        </is>
      </c>
      <c r="H1" s="7" t="inlineStr">
        <is>
          <t>statut_alerte</t>
        </is>
      </c>
    </row>
    <row r="2" ht="22" customHeight="1">
      <c r="A2" s="15" t="inlineStr">
        <is>
          <t>2026-05-10</t>
        </is>
      </c>
      <c r="B2" s="15" t="inlineStr">
        <is>
          <t>Financier</t>
        </is>
      </c>
      <c r="C2" s="15" t="inlineStr">
        <is>
          <t>PAR 7 jours</t>
        </is>
      </c>
      <c r="D2" s="15" t="inlineStr">
        <is>
          <t>BEN-2001</t>
        </is>
      </c>
      <c r="E2" s="15" t="inlineStr">
        <is>
          <t>Beneficiaire 01</t>
        </is>
      </c>
      <c r="F2" s="15" t="inlineStr">
        <is>
          <t>+237 670 110 220</t>
        </is>
      </c>
      <c r="G2" s="15" t="inlineStr">
        <is>
          <t>MOTO-1001</t>
        </is>
      </c>
      <c r="H2" s="15" t="inlineStr">
        <is>
          <t>Alert</t>
        </is>
      </c>
    </row>
    <row r="3" ht="22" customHeight="1">
      <c r="A3" s="15" t="inlineStr">
        <is>
          <t>2026-05-10</t>
        </is>
      </c>
      <c r="B3" s="15" t="inlineStr">
        <is>
          <t>Operationnel</t>
        </is>
      </c>
      <c r="C3" s="15" t="inlineStr">
        <is>
          <t>Motos inactives</t>
        </is>
      </c>
      <c r="D3" s="15" t="inlineStr">
        <is>
          <t>MOTO-1002</t>
        </is>
      </c>
      <c r="E3" s="15" t="inlineStr">
        <is>
          <t>Beneficiaire 02</t>
        </is>
      </c>
      <c r="F3" s="15" t="inlineStr">
        <is>
          <t>+237 671 111 221</t>
        </is>
      </c>
      <c r="G3" s="15" t="inlineStr">
        <is>
          <t>MOTO-1002</t>
        </is>
      </c>
      <c r="H3" s="15" t="inlineStr">
        <is>
          <t>Alert</t>
        </is>
      </c>
    </row>
    <row r="4" ht="22" customHeight="1">
      <c r="A4" s="15" t="inlineStr">
        <is>
          <t>2026-05-10</t>
        </is>
      </c>
      <c r="B4" s="15" t="inlineStr">
        <is>
          <t>Terrain</t>
        </is>
      </c>
      <c r="C4" s="15" t="inlineStr">
        <is>
          <t>Incidents du jour</t>
        </is>
      </c>
      <c r="D4" s="15" t="inlineStr">
        <is>
          <t>INC-1005-01</t>
        </is>
      </c>
      <c r="E4" s="15" t="inlineStr">
        <is>
          <t>Beneficiaire 03</t>
        </is>
      </c>
      <c r="F4" s="15" t="inlineStr">
        <is>
          <t>+237 672 112 222</t>
        </is>
      </c>
      <c r="G4" s="15" t="inlineStr">
        <is>
          <t>MOTO-1003</t>
        </is>
      </c>
      <c r="H4" s="15" t="inlineStr">
        <is>
          <t>Alert</t>
        </is>
      </c>
    </row>
    <row r="5" ht="22" customHeight="1">
      <c r="A5" s="15" t="n"/>
      <c r="B5" s="15" t="n"/>
      <c r="C5" s="15" t="n"/>
      <c r="D5" s="15" t="n"/>
      <c r="E5" s="15" t="n"/>
      <c r="F5" s="15" t="n"/>
      <c r="G5" s="15" t="n"/>
      <c r="H5" s="15" t="n"/>
    </row>
    <row r="6" ht="22" customHeight="1">
      <c r="A6" s="15" t="n"/>
      <c r="B6" s="15" t="n"/>
      <c r="C6" s="15" t="n"/>
      <c r="D6" s="15" t="n"/>
      <c r="E6" s="15" t="n"/>
      <c r="F6" s="15" t="n"/>
      <c r="G6" s="15" t="n"/>
      <c r="H6" s="15" t="n"/>
    </row>
    <row r="7" ht="22" customHeight="1">
      <c r="A7" s="15" t="n"/>
      <c r="B7" s="15" t="n"/>
      <c r="C7" s="15" t="n"/>
      <c r="D7" s="15" t="n"/>
      <c r="E7" s="15" t="n"/>
      <c r="F7" s="15" t="n"/>
      <c r="G7" s="15" t="n"/>
      <c r="H7" s="15" t="n"/>
    </row>
    <row r="8" ht="22" customHeight="1">
      <c r="A8" s="15" t="n"/>
      <c r="B8" s="15" t="n"/>
      <c r="C8" s="15" t="n"/>
      <c r="D8" s="15" t="n"/>
      <c r="E8" s="15" t="n"/>
      <c r="F8" s="15" t="n"/>
      <c r="G8" s="15" t="n"/>
      <c r="H8" s="15" t="n"/>
    </row>
    <row r="9" ht="22" customHeight="1">
      <c r="A9" s="15" t="n"/>
      <c r="B9" s="15" t="n"/>
      <c r="C9" s="15" t="n"/>
      <c r="D9" s="15" t="n"/>
      <c r="E9" s="15" t="n"/>
      <c r="F9" s="15" t="n"/>
      <c r="G9" s="15" t="n"/>
      <c r="H9" s="15" t="n"/>
    </row>
    <row r="10" ht="22" customHeight="1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 ht="22" customHeight="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 ht="22" customHeight="1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 ht="22" customHeight="1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 ht="22" customHeight="1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 ht="22" customHeight="1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 ht="22" customHeight="1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 ht="22" customHeight="1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 ht="22" customHeight="1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 ht="22" customHeight="1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2" customHeight="1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 ht="22" customHeight="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 ht="22" customHeight="1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 ht="22" customHeight="1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 ht="22" customHeight="1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 ht="22" customHeight="1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 ht="22" customHeight="1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 ht="22" customHeight="1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 ht="22" customHeight="1">
      <c r="A28" s="15" t="n"/>
      <c r="B28" s="15" t="n"/>
      <c r="C28" s="15" t="n"/>
      <c r="D28" s="15" t="n"/>
      <c r="E28" s="15" t="n"/>
      <c r="F28" s="15" t="n"/>
      <c r="G28" s="15" t="n"/>
      <c r="H28" s="15" t="n"/>
    </row>
    <row r="29" ht="22" customHeight="1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0" ht="22" customHeight="1">
      <c r="A30" s="15" t="n"/>
      <c r="B30" s="15" t="n"/>
      <c r="C30" s="15" t="n"/>
      <c r="D30" s="15" t="n"/>
      <c r="E30" s="15" t="n"/>
      <c r="F30" s="15" t="n"/>
      <c r="G30" s="15" t="n"/>
      <c r="H30" s="15" t="n"/>
    </row>
    <row r="31" ht="22" customHeight="1">
      <c r="A31" s="15" t="n"/>
      <c r="B31" s="15" t="n"/>
      <c r="C31" s="15" t="n"/>
      <c r="D31" s="15" t="n"/>
      <c r="E31" s="15" t="n"/>
      <c r="F31" s="15" t="n"/>
      <c r="G31" s="15" t="n"/>
      <c r="H31" s="15" t="n"/>
    </row>
    <row r="32" ht="22" customHeight="1">
      <c r="A32" s="15" t="n"/>
      <c r="B32" s="15" t="n"/>
      <c r="C32" s="15" t="n"/>
      <c r="D32" s="15" t="n"/>
      <c r="E32" s="15" t="n"/>
      <c r="F32" s="15" t="n"/>
      <c r="G32" s="15" t="n"/>
      <c r="H32" s="15" t="n"/>
    </row>
    <row r="33" ht="22" customHeight="1">
      <c r="A33" s="15" t="n"/>
      <c r="B33" s="15" t="n"/>
      <c r="C33" s="15" t="n"/>
      <c r="D33" s="15" t="n"/>
      <c r="E33" s="15" t="n"/>
      <c r="F33" s="15" t="n"/>
      <c r="G33" s="15" t="n"/>
      <c r="H33" s="15" t="n"/>
    </row>
    <row r="34" ht="22" customHeight="1">
      <c r="A34" s="15" t="n"/>
      <c r="B34" s="15" t="n"/>
      <c r="C34" s="15" t="n"/>
      <c r="D34" s="15" t="n"/>
      <c r="E34" s="15" t="n"/>
      <c r="F34" s="15" t="n"/>
      <c r="G34" s="15" t="n"/>
      <c r="H34" s="15" t="n"/>
    </row>
    <row r="35" ht="22" customHeight="1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 ht="22" customHeight="1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 ht="22" customHeight="1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 ht="22" customHeight="1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 ht="22" customHeight="1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 ht="22" customHeight="1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 ht="22" customHeight="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 ht="22" customHeight="1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 ht="22" customHeight="1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 ht="22" customHeight="1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 ht="22" customHeight="1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 ht="22" customHeight="1">
      <c r="A46" s="15" t="n"/>
      <c r="B46" s="15" t="n"/>
      <c r="C46" s="15" t="n"/>
      <c r="D46" s="15" t="n"/>
      <c r="E46" s="15" t="n"/>
      <c r="F46" s="15" t="n"/>
      <c r="G46" s="15" t="n"/>
      <c r="H46" s="15" t="n"/>
    </row>
    <row r="47" ht="22" customHeight="1">
      <c r="A47" s="15" t="n"/>
      <c r="B47" s="15" t="n"/>
      <c r="C47" s="15" t="n"/>
      <c r="D47" s="15" t="n"/>
      <c r="E47" s="15" t="n"/>
      <c r="F47" s="15" t="n"/>
      <c r="G47" s="15" t="n"/>
      <c r="H47" s="15" t="n"/>
    </row>
    <row r="48" ht="22" customHeight="1">
      <c r="A48" s="15" t="n"/>
      <c r="B48" s="15" t="n"/>
      <c r="C48" s="15" t="n"/>
      <c r="D48" s="15" t="n"/>
      <c r="E48" s="15" t="n"/>
      <c r="F48" s="15" t="n"/>
      <c r="G48" s="15" t="n"/>
      <c r="H48" s="15" t="n"/>
    </row>
    <row r="49" ht="22" customHeight="1">
      <c r="A49" s="15" t="n"/>
      <c r="B49" s="15" t="n"/>
      <c r="C49" s="15" t="n"/>
      <c r="D49" s="15" t="n"/>
      <c r="E49" s="15" t="n"/>
      <c r="F49" s="15" t="n"/>
      <c r="G49" s="15" t="n"/>
      <c r="H49" s="15" t="n"/>
    </row>
    <row r="50" ht="22" customHeight="1">
      <c r="A50" s="15" t="n"/>
      <c r="B50" s="15" t="n"/>
      <c r="C50" s="15" t="n"/>
      <c r="D50" s="15" t="n"/>
      <c r="E50" s="15" t="n"/>
      <c r="F50" s="15" t="n"/>
      <c r="G50" s="15" t="n"/>
      <c r="H50" s="15" t="n"/>
    </row>
    <row r="51" ht="22" customHeight="1"/>
    <row r="52" ht="22" customHeight="1"/>
    <row r="53" ht="22" customHeight="1"/>
    <row r="54" ht="22" customHeight="1"/>
    <row r="55" ht="22" customHeight="1"/>
    <row r="56" ht="22" customHeight="1"/>
    <row r="57" ht="22" customHeight="1"/>
    <row r="58" ht="22" customHeight="1"/>
    <row r="59" ht="22" customHeight="1"/>
    <row r="60" ht="22" customHeight="1"/>
    <row r="61" ht="22" customHeight="1"/>
    <row r="62" ht="22" customHeight="1"/>
    <row r="63" ht="22" customHeight="1"/>
    <row r="64" ht="22" customHeight="1"/>
    <row r="65" ht="22" customHeight="1"/>
    <row r="66" ht="22" customHeight="1"/>
    <row r="67" ht="22" customHeight="1"/>
    <row r="68" ht="22" customHeight="1"/>
    <row r="69" ht="22" customHeight="1"/>
    <row r="70" ht="22" customHeight="1"/>
    <row r="71" ht="22" customHeight="1"/>
    <row r="72" ht="22" customHeight="1"/>
    <row r="73" ht="22" customHeight="1"/>
    <row r="74" ht="22" customHeight="1"/>
    <row r="75" ht="22" customHeight="1"/>
    <row r="76" ht="22" customHeight="1"/>
    <row r="77" ht="22" customHeight="1"/>
    <row r="78" ht="22" customHeight="1"/>
    <row r="79" ht="22" customHeight="1"/>
    <row r="80" ht="22" customHeight="1"/>
    <row r="81" ht="22" customHeight="1"/>
    <row r="82" ht="22" customHeight="1"/>
    <row r="83" ht="22" customHeight="1"/>
    <row r="84" ht="22" customHeight="1"/>
    <row r="85" ht="22" customHeight="1"/>
    <row r="86" ht="22" customHeight="1"/>
    <row r="87" ht="22" customHeight="1"/>
    <row r="88" ht="22" customHeight="1"/>
    <row r="89" ht="22" customHeight="1"/>
    <row r="90" ht="22" customHeight="1"/>
    <row r="91" ht="22" customHeight="1"/>
    <row r="92" ht="22" customHeight="1"/>
    <row r="93" ht="22" customHeight="1"/>
    <row r="94" ht="22" customHeight="1"/>
    <row r="95" ht="22" customHeight="1"/>
    <row r="96" ht="22" customHeight="1"/>
    <row r="97" ht="22" customHeight="1"/>
    <row r="98" ht="22" customHeight="1"/>
    <row r="99" ht="22" customHeight="1"/>
    <row r="100" ht="22" customHeight="1"/>
    <row r="101" ht="22" customHeight="1"/>
    <row r="102" ht="22" customHeight="1"/>
    <row r="103" ht="22" customHeight="1"/>
    <row r="104" ht="22" customHeight="1"/>
    <row r="105" ht="22" customHeight="1"/>
    <row r="106" ht="22" customHeight="1"/>
    <row r="107" ht="22" customHeight="1"/>
    <row r="108" ht="22" customHeight="1"/>
    <row r="109" ht="22" customHeight="1"/>
    <row r="110" ht="22" customHeight="1"/>
    <row r="111" ht="22" customHeight="1"/>
    <row r="112" ht="22" customHeight="1"/>
    <row r="113" ht="22" customHeight="1"/>
    <row r="114" ht="22" customHeight="1"/>
    <row r="115" ht="22" customHeight="1"/>
    <row r="116" ht="22" customHeight="1"/>
    <row r="117" ht="22" customHeight="1"/>
    <row r="118" ht="22" customHeight="1"/>
    <row r="119" ht="22" customHeight="1"/>
    <row r="120" ht="22" customHeight="1"/>
    <row r="121" ht="22" customHeight="1"/>
    <row r="122" ht="22" customHeight="1"/>
    <row r="123" ht="22" customHeight="1"/>
    <row r="124" ht="22" customHeight="1"/>
    <row r="125" ht="22" customHeight="1"/>
    <row r="126" ht="22" customHeight="1"/>
    <row r="127" ht="22" customHeight="1"/>
    <row r="128" ht="22" customHeight="1"/>
    <row r="129" ht="22" customHeight="1"/>
    <row r="130" ht="22" customHeight="1"/>
    <row r="131" ht="22" customHeight="1"/>
    <row r="132" ht="22" customHeight="1"/>
    <row r="133" ht="22" customHeight="1"/>
    <row r="134" ht="22" customHeight="1"/>
    <row r="135" ht="22" customHeight="1"/>
    <row r="136" ht="22" customHeight="1"/>
    <row r="137" ht="22" customHeight="1"/>
    <row r="138" ht="22" customHeight="1"/>
    <row r="139" ht="22" customHeight="1"/>
    <row r="140" ht="22" customHeight="1"/>
    <row r="141" ht="22" customHeight="1"/>
    <row r="142" ht="22" customHeight="1"/>
    <row r="143" ht="22" customHeight="1"/>
    <row r="144" ht="22" customHeight="1"/>
    <row r="145" ht="22" customHeight="1"/>
    <row r="146" ht="22" customHeight="1"/>
    <row r="147" ht="22" customHeight="1"/>
    <row r="148" ht="22" customHeight="1"/>
    <row r="149" ht="22" customHeight="1"/>
    <row r="150" ht="22" customHeight="1"/>
    <row r="151" ht="22" customHeight="1"/>
    <row r="152" ht="22" customHeight="1"/>
    <row r="153" ht="22" customHeight="1"/>
    <row r="154" ht="22" customHeight="1"/>
    <row r="155" ht="22" customHeight="1"/>
    <row r="156" ht="22" customHeight="1"/>
    <row r="157" ht="22" customHeight="1"/>
    <row r="158" ht="22" customHeight="1"/>
    <row r="159" ht="22" customHeight="1"/>
    <row r="160" ht="22" customHeight="1"/>
    <row r="161" ht="22" customHeight="1"/>
    <row r="162" ht="22" customHeight="1"/>
    <row r="163" ht="22" customHeight="1"/>
    <row r="164" ht="22" customHeight="1"/>
    <row r="165" ht="22" customHeight="1"/>
    <row r="166" ht="22" customHeight="1"/>
    <row r="167" ht="22" customHeight="1"/>
    <row r="168" ht="22" customHeight="1"/>
    <row r="169" ht="22" customHeight="1"/>
    <row r="170" ht="22" customHeight="1"/>
    <row r="171" ht="22" customHeight="1"/>
    <row r="172" ht="22" customHeight="1"/>
    <row r="173" ht="22" customHeight="1"/>
    <row r="174" ht="22" customHeight="1"/>
    <row r="175" ht="22" customHeight="1"/>
    <row r="176" ht="22" customHeight="1"/>
    <row r="177" ht="22" customHeight="1"/>
    <row r="178" ht="22" customHeight="1"/>
    <row r="179" ht="22" customHeight="1"/>
    <row r="180" ht="22" customHeight="1"/>
    <row r="181" ht="22" customHeight="1"/>
    <row r="182" ht="22" customHeight="1"/>
    <row r="183" ht="22" customHeight="1"/>
    <row r="184" ht="22" customHeight="1"/>
    <row r="185" ht="22" customHeight="1"/>
    <row r="186" ht="22" customHeight="1"/>
    <row r="187" ht="22" customHeight="1"/>
    <row r="188" ht="22" customHeight="1"/>
    <row r="189" ht="22" customHeight="1"/>
    <row r="190" ht="22" customHeight="1"/>
    <row r="191" ht="22" customHeight="1"/>
    <row r="192" ht="22" customHeight="1"/>
    <row r="193" ht="22" customHeight="1"/>
    <row r="194" ht="22" customHeight="1"/>
    <row r="195" ht="22" customHeight="1"/>
    <row r="196" ht="22" customHeight="1"/>
    <row r="197" ht="22" customHeight="1"/>
    <row r="198" ht="22" customHeight="1"/>
    <row r="199" ht="22" customHeight="1"/>
    <row r="200" ht="22" customHeight="1"/>
  </sheetData>
  <autoFilter ref="A1:H50"/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2026-05-05T08:22:26Z</dcterms:created>
  <dcterms:modified xsi:type="dcterms:W3CDTF">2026-05-14T22:01:38Z</dcterms:modified>
</cp:coreProperties>
</file>