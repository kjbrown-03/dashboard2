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2\assets\"/>
    </mc:Choice>
  </mc:AlternateContent>
  <xr:revisionPtr revIDLastSave="0" documentId="13_ncr:1_{8DE44BC0-4B8B-446D-9960-E649EA98B359}" xr6:coauthVersionLast="47" xr6:coauthVersionMax="47" xr10:uidLastSave="{00000000-0000-0000-0000-000000000000}"/>
  <bookViews>
    <workbookView xWindow="-120" yWindow="-120" windowWidth="20730" windowHeight="11760" activeTab="6" xr2:uid="{00000000-000D-0000-FFFF-FFFF00000000}"/>
  </bookViews>
  <sheets>
    <sheet name="Financier" sheetId="1" r:id="rId1"/>
    <sheet name="Operationnel" sheetId="2" r:id="rId2"/>
    <sheet name="Social" sheetId="3" r:id="rId3"/>
    <sheet name="Fintech" sheetId="4" r:id="rId4"/>
    <sheet name="Discipline" sheetId="5" r:id="rId5"/>
    <sheet name="KPI Hebdo" sheetId="6" r:id="rId6"/>
    <sheet name="Bénéficiaires" sheetId="7" r:id="rId7"/>
  </sheets>
  <calcPr calcId="181029"/>
</workbook>
</file>

<file path=xl/calcChain.xml><?xml version="1.0" encoding="utf-8"?>
<calcChain xmlns="http://schemas.openxmlformats.org/spreadsheetml/2006/main">
  <c r="H31" i="4" l="1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3" i="2"/>
  <c r="I3" i="2"/>
  <c r="J2" i="2"/>
  <c r="I2" i="2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</calcChain>
</file>

<file path=xl/sharedStrings.xml><?xml version="1.0" encoding="utf-8"?>
<sst xmlns="http://schemas.openxmlformats.org/spreadsheetml/2006/main" count="154" uniqueCount="133">
  <si>
    <t>date</t>
  </si>
  <si>
    <t>montant_total_attendu</t>
  </si>
  <si>
    <t>montant_total_rembourse</t>
  </si>
  <si>
    <t>montant_total_finance</t>
  </si>
  <si>
    <t>montant_en_defaut</t>
  </si>
  <si>
    <t>paiements_temps</t>
  </si>
  <si>
    <t>paiements_attendus</t>
  </si>
  <si>
    <t>total_collecte</t>
  </si>
  <si>
    <t>nombre_beneficiaires</t>
  </si>
  <si>
    <t>montant_recupere</t>
  </si>
  <si>
    <t>montant_total_prete</t>
  </si>
  <si>
    <t>cout_total_projet</t>
  </si>
  <si>
    <t>beneficiaires_finances</t>
  </si>
  <si>
    <t>montant_recupere_apres_defaut</t>
  </si>
  <si>
    <t>motos_actives</t>
  </si>
  <si>
    <t>total_motos</t>
  </si>
  <si>
    <t>jours_actifs</t>
  </si>
  <si>
    <t>jours_totaux</t>
  </si>
  <si>
    <t>courses</t>
  </si>
  <si>
    <t>jours_sans_activite</t>
  </si>
  <si>
    <t>motos_panne</t>
  </si>
  <si>
    <t>revenus_estimes</t>
  </si>
  <si>
    <t>beneficiaires_actifs</t>
  </si>
  <si>
    <t>beneficiaires_initial</t>
  </si>
  <si>
    <t>emplois_directs</t>
  </si>
  <si>
    <t>emplois_indirects</t>
  </si>
  <si>
    <t>revenus_avant</t>
  </si>
  <si>
    <t>revenus_apres</t>
  </si>
  <si>
    <t>paiements_digitaux</t>
  </si>
  <si>
    <t>paiements_totaux</t>
  </si>
  <si>
    <t>volume_transactions</t>
  </si>
  <si>
    <t>commissions</t>
  </si>
  <si>
    <t>utilisateurs_actifs</t>
  </si>
  <si>
    <t>transactions</t>
  </si>
  <si>
    <t>score_discipline</t>
  </si>
  <si>
    <t>Nom</t>
  </si>
  <si>
    <t>Téléphone</t>
  </si>
  <si>
    <t>Moto</t>
  </si>
  <si>
    <t>Zone/Quartier</t>
  </si>
  <si>
    <t>Date_Integration</t>
  </si>
  <si>
    <t>Bénéficiaire 1</t>
  </si>
  <si>
    <t>Bénéficiaire 2</t>
  </si>
  <si>
    <t>Bénéficiaire 3</t>
  </si>
  <si>
    <t>Bénéficiaire 4</t>
  </si>
  <si>
    <t>Bénéficiaire 5</t>
  </si>
  <si>
    <t>Bénéficiaire 6</t>
  </si>
  <si>
    <t>Bénéficiaire 7</t>
  </si>
  <si>
    <t>Bénéficiaire 8</t>
  </si>
  <si>
    <t>Bénéficiaire 9</t>
  </si>
  <si>
    <t>Bénéficiaire 10</t>
  </si>
  <si>
    <t>Bénéficiaire 11</t>
  </si>
  <si>
    <t>Bénéficiaire 12</t>
  </si>
  <si>
    <t>Bénéficiaire 13</t>
  </si>
  <si>
    <t>Bénéficiaire 14</t>
  </si>
  <si>
    <t>Bénéficiaire 15</t>
  </si>
  <si>
    <t>Bénéficiaire 16</t>
  </si>
  <si>
    <t>Bénéficiaire 17</t>
  </si>
  <si>
    <t>Bénéficiaire 18</t>
  </si>
  <si>
    <t>Bénéficiaire 19</t>
  </si>
  <si>
    <t>Bénéficiaire 20</t>
  </si>
  <si>
    <t>+237 670 110 220</t>
  </si>
  <si>
    <t>+237 670 110 221</t>
  </si>
  <si>
    <t>+237 670 110 222</t>
  </si>
  <si>
    <t>+237 670 110 223</t>
  </si>
  <si>
    <t>+237 670 110 224</t>
  </si>
  <si>
    <t>+237 670 110 225</t>
  </si>
  <si>
    <t>+237 670 110 226</t>
  </si>
  <si>
    <t>+237 670 110 227</t>
  </si>
  <si>
    <t>+237 670 110 228</t>
  </si>
  <si>
    <t>+237 670 110 229</t>
  </si>
  <si>
    <t>+237 670 110 230</t>
  </si>
  <si>
    <t>+237 670 110 231</t>
  </si>
  <si>
    <t>+237 670 110 232</t>
  </si>
  <si>
    <t>+237 670 110 233</t>
  </si>
  <si>
    <t>+237 670 110 234</t>
  </si>
  <si>
    <t>+237 670 110 235</t>
  </si>
  <si>
    <t>+237 670 110 236</t>
  </si>
  <si>
    <t>+237 670 110 237</t>
  </si>
  <si>
    <t>+237 670 110 238</t>
  </si>
  <si>
    <t>+237 670 110 239</t>
  </si>
  <si>
    <t>MOTO-1001</t>
  </si>
  <si>
    <t>MOTO-1002</t>
  </si>
  <si>
    <t>MOTO-1003</t>
  </si>
  <si>
    <t>MOTO-1004</t>
  </si>
  <si>
    <t>MOTO-1005</t>
  </si>
  <si>
    <t>MOTO-1006</t>
  </si>
  <si>
    <t>MOTO-1007</t>
  </si>
  <si>
    <t>MOTO-1008</t>
  </si>
  <si>
    <t>MOTO-1009</t>
  </si>
  <si>
    <t>MOTO-1010</t>
  </si>
  <si>
    <t>MOTO-1011</t>
  </si>
  <si>
    <t>MOTO-1012</t>
  </si>
  <si>
    <t>MOTO-1013</t>
  </si>
  <si>
    <t>MOTO-1014</t>
  </si>
  <si>
    <t>MOTO-1015</t>
  </si>
  <si>
    <t>MOTO-1016</t>
  </si>
  <si>
    <t>MOTO-1017</t>
  </si>
  <si>
    <t>MOTO-1018</t>
  </si>
  <si>
    <t>MOTO-1019</t>
  </si>
  <si>
    <t>MOTO-1020</t>
  </si>
  <si>
    <t>Bonaberi</t>
  </si>
  <si>
    <t>Akwa</t>
  </si>
  <si>
    <t>Deido</t>
  </si>
  <si>
    <t>Makepe</t>
  </si>
  <si>
    <t>Bonamoussadi</t>
  </si>
  <si>
    <t>2023-01-01</t>
  </si>
  <si>
    <t>2023-01-08</t>
  </si>
  <si>
    <t>2023-01-15</t>
  </si>
  <si>
    <t>2023-01-22</t>
  </si>
  <si>
    <t>2023-01-29</t>
  </si>
  <si>
    <t>2023-02-05</t>
  </si>
  <si>
    <t>2023-02-12</t>
  </si>
  <si>
    <t>2023-02-19</t>
  </si>
  <si>
    <t>2023-02-26</t>
  </si>
  <si>
    <t>2023-03-05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</si>
  <si>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</si>
  <si>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</si>
  <si>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</si>
  <si>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</si>
  <si>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</si>
  <si>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</si>
  <si>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</si>
  <si>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</si>
  <si>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</si>
  <si>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</si>
  <si>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Performance (%)</t>
  </si>
  <si>
    <t>Montant moyen / bénéf (FCFA)</t>
  </si>
  <si>
    <t>Taux motos actives (%)</t>
  </si>
  <si>
    <t>Taux de pannes (%)</t>
  </si>
  <si>
    <t>Taux maintien (%)</t>
  </si>
  <si>
    <t>Amélioration revenus (%)</t>
  </si>
  <si>
    <t>Emplois créés</t>
  </si>
  <si>
    <t>Taux digitalisation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</si>
</sst>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0" xfId="0" applyNumberFormat="1"/>
    <xf numFmtId="10" fontId="0" fillId="3" borderId="1" xfId="0" applyNumberForma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workbookViewId="0">
      <selection sqref="A1:XFD1048576"/>
    </sheetView>
  </sheetViews>
  <sheetFormatPr baseColWidth="10" defaultColWidth="9.140625" defaultRowHeight="15" x14ac:dyDescent="0.25"/>
  <cols>
    <col min="1" max="1" width="18.140625" bestFit="1" customWidth="1"/>
    <col min="2" max="2" width="22" bestFit="1" customWidth="1"/>
    <col min="3" max="3" width="24.7109375" bestFit="1" customWidth="1"/>
    <col min="4" max="4" width="21.5703125" bestFit="1" customWidth="1"/>
    <col min="5" max="5" width="18.85546875" bestFit="1" customWidth="1"/>
    <col min="6" max="6" width="17.140625" bestFit="1" customWidth="1"/>
    <col min="7" max="7" width="19.42578125" bestFit="1" customWidth="1"/>
    <col min="8" max="8" width="13.140625" bestFit="1" customWidth="1"/>
    <col min="9" max="9" width="20.7109375" bestFit="1" customWidth="1"/>
    <col min="10" max="10" width="17.7109375" bestFit="1" customWidth="1"/>
    <col min="11" max="11" width="19.7109375" bestFit="1" customWidth="1"/>
    <col min="12" max="12" width="16.5703125" bestFit="1" customWidth="1"/>
    <col min="13" max="13" width="21.28515625" bestFit="1" customWidth="1"/>
    <col min="14" max="14" width="30.7109375" bestFit="1" customWidth="1"/>
    <col min="15" max="15" width="8.5703125" bestFit="1" customWidth="1"/>
    <col min="16" max="16" width="8.7109375" bestFit="1" customWidth="1"/>
  </cols>
  <sheetData>
    <row r="1" spans="1:16" ht="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125</v>
      </c>
      <c r="P1" s="1" t="s">
        <v>126</v>
      </c>
    </row>
    <row r="2" spans="1:16" x14ac:dyDescent="0.25">
      <c r="A2" s="2">
        <v>45383</v>
      </c>
      <c r="B2">
        <v>581177.58025645709</v>
      </c>
      <c r="C2">
        <v>396519.35744877311</v>
      </c>
      <c r="D2">
        <v>10000000</v>
      </c>
      <c r="E2">
        <v>213211.32044048939</v>
      </c>
      <c r="F2">
        <v>41</v>
      </c>
      <c r="G2">
        <v>50</v>
      </c>
      <c r="H2">
        <v>489706.15781652043</v>
      </c>
      <c r="I2">
        <v>50</v>
      </c>
      <c r="J2">
        <v>10171.439227912701</v>
      </c>
      <c r="K2">
        <v>10000000</v>
      </c>
      <c r="L2">
        <v>100000</v>
      </c>
      <c r="M2">
        <v>50</v>
      </c>
      <c r="N2">
        <v>5540.3117893331373</v>
      </c>
      <c r="O2" s="3">
        <f t="shared" ref="O2:O31" si="0">IF(B2=0, 0, H2/B2)</f>
        <v>0.84261020117194996</v>
      </c>
      <c r="P2" s="4">
        <f t="shared" ref="P2:P31" si="1">IF(I2=0, 0, H2/I2)</f>
        <v>9794.1231563304082</v>
      </c>
    </row>
    <row r="3" spans="1:16" x14ac:dyDescent="0.25">
      <c r="A3" s="2">
        <v>45384</v>
      </c>
      <c r="B3">
        <v>545130.29852134583</v>
      </c>
      <c r="C3">
        <v>551410.7282400179</v>
      </c>
      <c r="D3">
        <v>10000000</v>
      </c>
      <c r="E3">
        <v>199394.84360803</v>
      </c>
      <c r="F3">
        <v>42</v>
      </c>
      <c r="G3">
        <v>50</v>
      </c>
      <c r="H3">
        <v>478114.41245310428</v>
      </c>
      <c r="I3">
        <v>50</v>
      </c>
      <c r="J3">
        <v>11872.16430719211</v>
      </c>
      <c r="K3">
        <v>10000000</v>
      </c>
      <c r="L3">
        <v>100000</v>
      </c>
      <c r="M3">
        <v>50</v>
      </c>
      <c r="N3">
        <v>3208.104481648109</v>
      </c>
      <c r="O3" s="3">
        <f t="shared" si="0"/>
        <v>0.87706446284490025</v>
      </c>
      <c r="P3" s="4">
        <f t="shared" si="1"/>
        <v>9562.288249062085</v>
      </c>
    </row>
    <row r="4" spans="1:16" x14ac:dyDescent="0.25">
      <c r="A4" s="2">
        <v>45385</v>
      </c>
      <c r="B4">
        <v>401798.84072130022</v>
      </c>
      <c r="C4">
        <v>524693.35143813933</v>
      </c>
      <c r="D4">
        <v>10000000</v>
      </c>
      <c r="E4">
        <v>245860.38197211141</v>
      </c>
      <c r="F4">
        <v>53</v>
      </c>
      <c r="G4">
        <v>50</v>
      </c>
      <c r="H4">
        <v>486119.63847018289</v>
      </c>
      <c r="I4">
        <v>50</v>
      </c>
      <c r="J4">
        <v>10874.07603230506</v>
      </c>
      <c r="K4">
        <v>10000000</v>
      </c>
      <c r="L4">
        <v>100000</v>
      </c>
      <c r="M4">
        <v>50</v>
      </c>
      <c r="N4">
        <v>4180.9545819004961</v>
      </c>
      <c r="O4" s="3">
        <f t="shared" si="0"/>
        <v>1.2098582405004252</v>
      </c>
      <c r="P4" s="4">
        <f t="shared" si="1"/>
        <v>9722.3927694036574</v>
      </c>
    </row>
    <row r="5" spans="1:16" x14ac:dyDescent="0.25">
      <c r="A5" s="2">
        <v>45386</v>
      </c>
      <c r="B5">
        <v>464044.85279599781</v>
      </c>
      <c r="C5">
        <v>449260.22241666389</v>
      </c>
      <c r="D5">
        <v>10000000</v>
      </c>
      <c r="E5">
        <v>208679.38681439069</v>
      </c>
      <c r="F5">
        <v>53</v>
      </c>
      <c r="G5">
        <v>50</v>
      </c>
      <c r="H5">
        <v>533034.25022739707</v>
      </c>
      <c r="I5">
        <v>50</v>
      </c>
      <c r="J5">
        <v>8945.2408776493849</v>
      </c>
      <c r="K5">
        <v>10000000</v>
      </c>
      <c r="L5">
        <v>100000</v>
      </c>
      <c r="M5">
        <v>50</v>
      </c>
      <c r="N5">
        <v>4979.1851021520979</v>
      </c>
      <c r="O5" s="3">
        <f t="shared" si="0"/>
        <v>1.1486696749586149</v>
      </c>
      <c r="P5" s="4">
        <f t="shared" si="1"/>
        <v>10660.685004547942</v>
      </c>
    </row>
    <row r="6" spans="1:16" x14ac:dyDescent="0.25">
      <c r="A6" s="2">
        <v>45387</v>
      </c>
      <c r="B6">
        <v>473857.33858826919</v>
      </c>
      <c r="C6">
        <v>432658.01556861523</v>
      </c>
      <c r="D6">
        <v>10000000</v>
      </c>
      <c r="E6">
        <v>188196.001709537</v>
      </c>
      <c r="F6">
        <v>43</v>
      </c>
      <c r="G6">
        <v>50</v>
      </c>
      <c r="H6">
        <v>484814.26294720091</v>
      </c>
      <c r="I6">
        <v>50</v>
      </c>
      <c r="J6">
        <v>10352.392255012121</v>
      </c>
      <c r="K6">
        <v>10000000</v>
      </c>
      <c r="L6">
        <v>100000</v>
      </c>
      <c r="M6">
        <v>50</v>
      </c>
      <c r="N6">
        <v>5150.4858465048974</v>
      </c>
      <c r="O6" s="3">
        <f t="shared" si="0"/>
        <v>1.0231228335337696</v>
      </c>
      <c r="P6" s="4">
        <f t="shared" si="1"/>
        <v>9696.285258944019</v>
      </c>
    </row>
    <row r="7" spans="1:16" x14ac:dyDescent="0.25">
      <c r="A7" s="2">
        <v>45388</v>
      </c>
      <c r="B7">
        <v>464976.06952492392</v>
      </c>
      <c r="C7">
        <v>529409.11917820363</v>
      </c>
      <c r="D7">
        <v>10000000</v>
      </c>
      <c r="E7">
        <v>192881.52699429731</v>
      </c>
      <c r="F7">
        <v>43</v>
      </c>
      <c r="G7">
        <v>50</v>
      </c>
      <c r="H7">
        <v>541890.06756369094</v>
      </c>
      <c r="I7">
        <v>50</v>
      </c>
      <c r="J7">
        <v>12899.125407879499</v>
      </c>
      <c r="K7">
        <v>10000000</v>
      </c>
      <c r="L7">
        <v>100000</v>
      </c>
      <c r="M7">
        <v>50</v>
      </c>
      <c r="N7">
        <v>4407.3240211613629</v>
      </c>
      <c r="O7" s="3">
        <f t="shared" si="0"/>
        <v>1.1654149602093538</v>
      </c>
      <c r="P7" s="4">
        <f t="shared" si="1"/>
        <v>10837.801351273818</v>
      </c>
    </row>
    <row r="8" spans="1:16" x14ac:dyDescent="0.25">
      <c r="A8" s="2">
        <v>45389</v>
      </c>
      <c r="B8">
        <v>576987.35823018663</v>
      </c>
      <c r="C8">
        <v>414032.25061753078</v>
      </c>
      <c r="D8">
        <v>10000000</v>
      </c>
      <c r="E8">
        <v>208304.53891810431</v>
      </c>
      <c r="F8">
        <v>47</v>
      </c>
      <c r="G8">
        <v>50</v>
      </c>
      <c r="H8">
        <v>377605.79498167918</v>
      </c>
      <c r="I8">
        <v>50</v>
      </c>
      <c r="J8">
        <v>11493.069577265291</v>
      </c>
      <c r="K8">
        <v>10000000</v>
      </c>
      <c r="L8">
        <v>100000</v>
      </c>
      <c r="M8">
        <v>50</v>
      </c>
      <c r="N8">
        <v>4395.7603619205474</v>
      </c>
      <c r="O8" s="3">
        <f t="shared" si="0"/>
        <v>0.65444379256405649</v>
      </c>
      <c r="P8" s="4">
        <f t="shared" si="1"/>
        <v>7552.1158996335835</v>
      </c>
    </row>
    <row r="9" spans="1:16" x14ac:dyDescent="0.25">
      <c r="A9" s="2">
        <v>45390</v>
      </c>
      <c r="B9">
        <v>525617.23732861644</v>
      </c>
      <c r="C9">
        <v>479313.27981462411</v>
      </c>
      <c r="D9">
        <v>10000000</v>
      </c>
      <c r="E9">
        <v>218843.10274637429</v>
      </c>
      <c r="F9">
        <v>46</v>
      </c>
      <c r="G9">
        <v>50</v>
      </c>
      <c r="H9">
        <v>424979.69516245718</v>
      </c>
      <c r="I9">
        <v>50</v>
      </c>
      <c r="J9">
        <v>8986.2931407753549</v>
      </c>
      <c r="K9">
        <v>10000000</v>
      </c>
      <c r="L9">
        <v>100000</v>
      </c>
      <c r="M9">
        <v>50</v>
      </c>
      <c r="N9">
        <v>4296.2952185657614</v>
      </c>
      <c r="O9" s="3">
        <f t="shared" si="0"/>
        <v>0.80853454753950438</v>
      </c>
      <c r="P9" s="4">
        <f t="shared" si="1"/>
        <v>8499.5939032491442</v>
      </c>
    </row>
    <row r="10" spans="1:16" x14ac:dyDescent="0.25">
      <c r="A10" s="2">
        <v>45391</v>
      </c>
      <c r="B10">
        <v>478665.08213538659</v>
      </c>
      <c r="C10">
        <v>521726.29281465907</v>
      </c>
      <c r="D10">
        <v>10000000</v>
      </c>
      <c r="E10">
        <v>196406.40094471569</v>
      </c>
      <c r="F10">
        <v>47</v>
      </c>
      <c r="G10">
        <v>50</v>
      </c>
      <c r="H10">
        <v>355194.70206359727</v>
      </c>
      <c r="I10">
        <v>50</v>
      </c>
      <c r="J10">
        <v>10816.848261575051</v>
      </c>
      <c r="K10">
        <v>10000000</v>
      </c>
      <c r="L10">
        <v>100000</v>
      </c>
      <c r="M10">
        <v>50</v>
      </c>
      <c r="N10">
        <v>5243.6560149311053</v>
      </c>
      <c r="O10" s="3">
        <f t="shared" si="0"/>
        <v>0.74205266964330874</v>
      </c>
      <c r="P10" s="4">
        <f t="shared" si="1"/>
        <v>7103.8940412719458</v>
      </c>
    </row>
    <row r="11" spans="1:16" x14ac:dyDescent="0.25">
      <c r="A11" s="2">
        <v>45392</v>
      </c>
      <c r="B11">
        <v>516019.41171962739</v>
      </c>
      <c r="C11">
        <v>571842.77840115037</v>
      </c>
      <c r="D11">
        <v>10000000</v>
      </c>
      <c r="E11">
        <v>227195.34231000909</v>
      </c>
      <c r="F11">
        <v>31</v>
      </c>
      <c r="G11">
        <v>50</v>
      </c>
      <c r="H11">
        <v>505832.05276445037</v>
      </c>
      <c r="I11">
        <v>50</v>
      </c>
      <c r="J11">
        <v>10295.027820333329</v>
      </c>
      <c r="K11">
        <v>10000000</v>
      </c>
      <c r="L11">
        <v>100000</v>
      </c>
      <c r="M11">
        <v>50</v>
      </c>
      <c r="N11">
        <v>5184.796847997889</v>
      </c>
      <c r="O11" s="3">
        <f t="shared" si="0"/>
        <v>0.98025779898235266</v>
      </c>
      <c r="P11" s="4">
        <f t="shared" si="1"/>
        <v>10116.641055289008</v>
      </c>
    </row>
    <row r="12" spans="1:16" x14ac:dyDescent="0.25">
      <c r="A12" s="2">
        <v>45393</v>
      </c>
      <c r="B12">
        <v>519006.7524738193</v>
      </c>
      <c r="C12">
        <v>465705.54387034982</v>
      </c>
      <c r="D12">
        <v>10000000</v>
      </c>
      <c r="E12">
        <v>168550.701007645</v>
      </c>
      <c r="F12">
        <v>55</v>
      </c>
      <c r="G12">
        <v>50</v>
      </c>
      <c r="H12">
        <v>542584.61053700454</v>
      </c>
      <c r="I12">
        <v>50</v>
      </c>
      <c r="J12">
        <v>8438.5117474049694</v>
      </c>
      <c r="K12">
        <v>10000000</v>
      </c>
      <c r="L12">
        <v>100000</v>
      </c>
      <c r="M12">
        <v>50</v>
      </c>
      <c r="N12">
        <v>4144.4691629966073</v>
      </c>
      <c r="O12" s="3">
        <f t="shared" si="0"/>
        <v>1.0454288079120408</v>
      </c>
      <c r="P12" s="4">
        <f t="shared" si="1"/>
        <v>10851.692210740091</v>
      </c>
    </row>
    <row r="13" spans="1:16" x14ac:dyDescent="0.25">
      <c r="A13" s="2">
        <v>45394</v>
      </c>
      <c r="B13">
        <v>507995.90129241563</v>
      </c>
      <c r="C13">
        <v>442624.95117725508</v>
      </c>
      <c r="D13">
        <v>10000000</v>
      </c>
      <c r="E13">
        <v>208548.00870523931</v>
      </c>
      <c r="F13">
        <v>46</v>
      </c>
      <c r="G13">
        <v>50</v>
      </c>
      <c r="H13">
        <v>468002.06569957838</v>
      </c>
      <c r="I13">
        <v>50</v>
      </c>
      <c r="J13">
        <v>11999.64328680757</v>
      </c>
      <c r="K13">
        <v>10000000</v>
      </c>
      <c r="L13">
        <v>100000</v>
      </c>
      <c r="M13">
        <v>50</v>
      </c>
      <c r="N13">
        <v>4900.5159875336694</v>
      </c>
      <c r="O13" s="3">
        <f t="shared" si="0"/>
        <v>0.92127134197128935</v>
      </c>
      <c r="P13" s="4">
        <f t="shared" si="1"/>
        <v>9360.0413139915672</v>
      </c>
    </row>
    <row r="14" spans="1:16" x14ac:dyDescent="0.25">
      <c r="A14" s="2">
        <v>45395</v>
      </c>
      <c r="B14">
        <v>572490.33034007857</v>
      </c>
      <c r="C14">
        <v>458794.99043777602</v>
      </c>
      <c r="D14">
        <v>10000000</v>
      </c>
      <c r="E14">
        <v>176604.59762771969</v>
      </c>
      <c r="F14">
        <v>44</v>
      </c>
      <c r="G14">
        <v>50</v>
      </c>
      <c r="H14">
        <v>429780.81483698369</v>
      </c>
      <c r="I14">
        <v>50</v>
      </c>
      <c r="J14">
        <v>10464.472767590671</v>
      </c>
      <c r="K14">
        <v>10000000</v>
      </c>
      <c r="L14">
        <v>100000</v>
      </c>
      <c r="M14">
        <v>50</v>
      </c>
      <c r="N14">
        <v>4940.9887024801492</v>
      </c>
      <c r="O14" s="3">
        <f t="shared" si="0"/>
        <v>0.7507215267403371</v>
      </c>
      <c r="P14" s="4">
        <f t="shared" si="1"/>
        <v>8595.616296739674</v>
      </c>
    </row>
    <row r="15" spans="1:16" x14ac:dyDescent="0.25">
      <c r="A15" s="2">
        <v>45396</v>
      </c>
      <c r="B15">
        <v>470697.81711850478</v>
      </c>
      <c r="C15">
        <v>509188.04003980441</v>
      </c>
      <c r="D15">
        <v>10000000</v>
      </c>
      <c r="E15">
        <v>201000.89643215109</v>
      </c>
      <c r="F15">
        <v>42</v>
      </c>
      <c r="G15">
        <v>50</v>
      </c>
      <c r="H15">
        <v>473135.95890016621</v>
      </c>
      <c r="I15">
        <v>50</v>
      </c>
      <c r="J15">
        <v>12284.69530400142</v>
      </c>
      <c r="K15">
        <v>10000000</v>
      </c>
      <c r="L15">
        <v>100000</v>
      </c>
      <c r="M15">
        <v>50</v>
      </c>
      <c r="N15">
        <v>5747.3277515733362</v>
      </c>
      <c r="O15" s="3">
        <f t="shared" si="0"/>
        <v>1.0051798451001688</v>
      </c>
      <c r="P15" s="4">
        <f t="shared" si="1"/>
        <v>9462.7191780033245</v>
      </c>
    </row>
    <row r="16" spans="1:16" x14ac:dyDescent="0.25">
      <c r="A16" s="2">
        <v>45397</v>
      </c>
      <c r="B16">
        <v>492772.58733912569</v>
      </c>
      <c r="C16">
        <v>585769.98922302807</v>
      </c>
      <c r="D16">
        <v>10000000</v>
      </c>
      <c r="E16">
        <v>200068.6989246367</v>
      </c>
      <c r="F16">
        <v>44</v>
      </c>
      <c r="G16">
        <v>50</v>
      </c>
      <c r="H16">
        <v>543516.81210219918</v>
      </c>
      <c r="I16">
        <v>50</v>
      </c>
      <c r="J16">
        <v>11042.70897062004</v>
      </c>
      <c r="K16">
        <v>10000000</v>
      </c>
      <c r="L16">
        <v>100000</v>
      </c>
      <c r="M16">
        <v>50</v>
      </c>
      <c r="N16">
        <v>5717.6682304888755</v>
      </c>
      <c r="O16" s="3">
        <f t="shared" si="0"/>
        <v>1.102976963546374</v>
      </c>
      <c r="P16" s="4">
        <f t="shared" si="1"/>
        <v>10870.336242043984</v>
      </c>
    </row>
    <row r="17" spans="1:16" x14ac:dyDescent="0.25">
      <c r="A17" s="2">
        <v>45398</v>
      </c>
      <c r="B17">
        <v>531387.62123046617</v>
      </c>
      <c r="C17">
        <v>526610.27083025069</v>
      </c>
      <c r="D17">
        <v>10000000</v>
      </c>
      <c r="E17">
        <v>171643.0963966432</v>
      </c>
      <c r="F17">
        <v>46</v>
      </c>
      <c r="G17">
        <v>50</v>
      </c>
      <c r="H17">
        <v>524542.17463610903</v>
      </c>
      <c r="I17">
        <v>50</v>
      </c>
      <c r="J17">
        <v>12201.947366372469</v>
      </c>
      <c r="K17">
        <v>10000000</v>
      </c>
      <c r="L17">
        <v>100000</v>
      </c>
      <c r="M17">
        <v>50</v>
      </c>
      <c r="N17">
        <v>3778.984588463547</v>
      </c>
      <c r="O17" s="3">
        <f t="shared" si="0"/>
        <v>0.98711779062804283</v>
      </c>
      <c r="P17" s="4">
        <f t="shared" si="1"/>
        <v>10490.843492722181</v>
      </c>
    </row>
    <row r="18" spans="1:16" x14ac:dyDescent="0.25">
      <c r="A18" s="2">
        <v>45399</v>
      </c>
      <c r="B18">
        <v>523564.37978617247</v>
      </c>
      <c r="C18">
        <v>563547.87972245808</v>
      </c>
      <c r="D18">
        <v>10000000</v>
      </c>
      <c r="E18">
        <v>198331.4413005219</v>
      </c>
      <c r="F18">
        <v>50</v>
      </c>
      <c r="G18">
        <v>50</v>
      </c>
      <c r="H18">
        <v>471071.46799849521</v>
      </c>
      <c r="I18">
        <v>50</v>
      </c>
      <c r="J18">
        <v>9159.8602073065231</v>
      </c>
      <c r="K18">
        <v>10000000</v>
      </c>
      <c r="L18">
        <v>100000</v>
      </c>
      <c r="M18">
        <v>50</v>
      </c>
      <c r="N18">
        <v>4999.0593746531222</v>
      </c>
      <c r="O18" s="3">
        <f t="shared" si="0"/>
        <v>0.89973933710097742</v>
      </c>
      <c r="P18" s="4">
        <f t="shared" si="1"/>
        <v>9421.4293599699049</v>
      </c>
    </row>
    <row r="19" spans="1:16" x14ac:dyDescent="0.25">
      <c r="A19" s="2">
        <v>45400</v>
      </c>
      <c r="B19">
        <v>548637.01768663456</v>
      </c>
      <c r="C19">
        <v>390443.69078843779</v>
      </c>
      <c r="D19">
        <v>10000000</v>
      </c>
      <c r="E19">
        <v>218074.70123680591</v>
      </c>
      <c r="F19">
        <v>46</v>
      </c>
      <c r="G19">
        <v>50</v>
      </c>
      <c r="H19">
        <v>580012.40303006291</v>
      </c>
      <c r="I19">
        <v>50</v>
      </c>
      <c r="J19">
        <v>14201.566784531569</v>
      </c>
      <c r="K19">
        <v>10000000</v>
      </c>
      <c r="L19">
        <v>100000</v>
      </c>
      <c r="M19">
        <v>50</v>
      </c>
      <c r="N19">
        <v>4392.6560732783437</v>
      </c>
      <c r="O19" s="3">
        <f t="shared" si="0"/>
        <v>1.0571878752835979</v>
      </c>
      <c r="P19" s="4">
        <f t="shared" si="1"/>
        <v>11600.248060601258</v>
      </c>
    </row>
    <row r="20" spans="1:16" x14ac:dyDescent="0.25">
      <c r="A20" s="2">
        <v>45401</v>
      </c>
      <c r="B20">
        <v>540686.39812826086</v>
      </c>
      <c r="C20">
        <v>556156.02314509056</v>
      </c>
      <c r="D20">
        <v>10000000</v>
      </c>
      <c r="E20">
        <v>201627.9350413389</v>
      </c>
      <c r="F20">
        <v>56</v>
      </c>
      <c r="G20">
        <v>50</v>
      </c>
      <c r="H20">
        <v>405105.3645159048</v>
      </c>
      <c r="I20">
        <v>50</v>
      </c>
      <c r="J20">
        <v>8262.5398036806255</v>
      </c>
      <c r="K20">
        <v>10000000</v>
      </c>
      <c r="L20">
        <v>100000</v>
      </c>
      <c r="M20">
        <v>50</v>
      </c>
      <c r="N20">
        <v>5386.6165484501762</v>
      </c>
      <c r="O20" s="3">
        <f t="shared" si="0"/>
        <v>0.74924275128483309</v>
      </c>
      <c r="P20" s="4">
        <f t="shared" si="1"/>
        <v>8102.1072903180957</v>
      </c>
    </row>
    <row r="21" spans="1:16" x14ac:dyDescent="0.25">
      <c r="A21" s="2">
        <v>45402</v>
      </c>
      <c r="B21">
        <v>543430.85738071112</v>
      </c>
      <c r="C21">
        <v>523055.22863609379</v>
      </c>
      <c r="D21">
        <v>10000000</v>
      </c>
      <c r="E21">
        <v>196035.2723436408</v>
      </c>
      <c r="F21">
        <v>42</v>
      </c>
      <c r="G21">
        <v>50</v>
      </c>
      <c r="H21">
        <v>565463.74068395724</v>
      </c>
      <c r="I21">
        <v>50</v>
      </c>
      <c r="J21">
        <v>11387.78680325829</v>
      </c>
      <c r="K21">
        <v>10000000</v>
      </c>
      <c r="L21">
        <v>100000</v>
      </c>
      <c r="M21">
        <v>50</v>
      </c>
      <c r="N21">
        <v>3348.9164536895678</v>
      </c>
      <c r="O21" s="3">
        <f t="shared" si="0"/>
        <v>1.0405440416273795</v>
      </c>
      <c r="P21" s="4">
        <f t="shared" si="1"/>
        <v>11309.274813679145</v>
      </c>
    </row>
    <row r="22" spans="1:16" x14ac:dyDescent="0.25">
      <c r="A22" s="2">
        <v>45403</v>
      </c>
      <c r="B22">
        <v>367302.93616274261</v>
      </c>
      <c r="C22">
        <v>439339.79561049532</v>
      </c>
      <c r="D22">
        <v>10000000</v>
      </c>
      <c r="E22">
        <v>195007.31580635969</v>
      </c>
      <c r="F22">
        <v>36</v>
      </c>
      <c r="G22">
        <v>50</v>
      </c>
      <c r="H22">
        <v>530501.3302710274</v>
      </c>
      <c r="I22">
        <v>50</v>
      </c>
      <c r="J22">
        <v>9716.789539511672</v>
      </c>
      <c r="K22">
        <v>10000000</v>
      </c>
      <c r="L22">
        <v>100000</v>
      </c>
      <c r="M22">
        <v>50</v>
      </c>
      <c r="N22">
        <v>3386.739090412314</v>
      </c>
      <c r="O22" s="3">
        <f t="shared" si="0"/>
        <v>1.4443155173580635</v>
      </c>
      <c r="P22" s="4">
        <f t="shared" si="1"/>
        <v>10610.026605420548</v>
      </c>
    </row>
    <row r="23" spans="1:16" x14ac:dyDescent="0.25">
      <c r="A23" s="2">
        <v>45404</v>
      </c>
      <c r="B23">
        <v>497535.87906622229</v>
      </c>
      <c r="C23">
        <v>564196.50750729733</v>
      </c>
      <c r="D23">
        <v>10000000</v>
      </c>
      <c r="E23">
        <v>204024.1747683885</v>
      </c>
      <c r="F23">
        <v>50</v>
      </c>
      <c r="G23">
        <v>50</v>
      </c>
      <c r="H23">
        <v>475064.38004266162</v>
      </c>
      <c r="I23">
        <v>50</v>
      </c>
      <c r="J23">
        <v>9374.4998554576196</v>
      </c>
      <c r="K23">
        <v>10000000</v>
      </c>
      <c r="L23">
        <v>100000</v>
      </c>
      <c r="M23">
        <v>50</v>
      </c>
      <c r="N23">
        <v>4759.0054619878747</v>
      </c>
      <c r="O23" s="3">
        <f t="shared" si="0"/>
        <v>0.95483441502603739</v>
      </c>
      <c r="P23" s="4">
        <f t="shared" si="1"/>
        <v>9501.287600853233</v>
      </c>
    </row>
    <row r="24" spans="1:16" x14ac:dyDescent="0.25">
      <c r="A24" s="2">
        <v>45405</v>
      </c>
      <c r="B24">
        <v>514581.10563964478</v>
      </c>
      <c r="C24">
        <v>438618.04180994863</v>
      </c>
      <c r="D24">
        <v>10000000</v>
      </c>
      <c r="E24">
        <v>208848.31294656359</v>
      </c>
      <c r="F24">
        <v>50</v>
      </c>
      <c r="G24">
        <v>50</v>
      </c>
      <c r="H24">
        <v>427587.7507581627</v>
      </c>
      <c r="I24">
        <v>50</v>
      </c>
      <c r="J24">
        <v>10312.325694071609</v>
      </c>
      <c r="K24">
        <v>10000000</v>
      </c>
      <c r="L24">
        <v>100000</v>
      </c>
      <c r="M24">
        <v>50</v>
      </c>
      <c r="N24">
        <v>3667.9046836380121</v>
      </c>
      <c r="O24" s="3">
        <f t="shared" si="0"/>
        <v>0.83094335581298528</v>
      </c>
      <c r="P24" s="4">
        <f t="shared" si="1"/>
        <v>8551.7550151632531</v>
      </c>
    </row>
    <row r="25" spans="1:16" x14ac:dyDescent="0.25">
      <c r="A25" s="2">
        <v>45406</v>
      </c>
      <c r="B25">
        <v>502866.98682670231</v>
      </c>
      <c r="C25">
        <v>563129.08243561967</v>
      </c>
      <c r="D25">
        <v>10000000</v>
      </c>
      <c r="E25">
        <v>194487.3253097884</v>
      </c>
      <c r="F25">
        <v>50</v>
      </c>
      <c r="G25">
        <v>50</v>
      </c>
      <c r="H25">
        <v>491796.35674546729</v>
      </c>
      <c r="I25">
        <v>50</v>
      </c>
      <c r="J25">
        <v>6640.9417491757567</v>
      </c>
      <c r="K25">
        <v>10000000</v>
      </c>
      <c r="L25">
        <v>100000</v>
      </c>
      <c r="M25">
        <v>50</v>
      </c>
      <c r="N25">
        <v>4472.7453043782734</v>
      </c>
      <c r="O25" s="3">
        <f t="shared" si="0"/>
        <v>0.97798497341991919</v>
      </c>
      <c r="P25" s="4">
        <f t="shared" si="1"/>
        <v>9835.9271349093451</v>
      </c>
    </row>
    <row r="26" spans="1:16" x14ac:dyDescent="0.25">
      <c r="A26" s="2">
        <v>45407</v>
      </c>
      <c r="B26">
        <v>571667.38510539394</v>
      </c>
      <c r="C26">
        <v>520540.91586683219</v>
      </c>
      <c r="D26">
        <v>10000000</v>
      </c>
      <c r="E26">
        <v>169592.87022831189</v>
      </c>
      <c r="F26">
        <v>43</v>
      </c>
      <c r="G26">
        <v>50</v>
      </c>
      <c r="H26">
        <v>460861.41815649893</v>
      </c>
      <c r="I26">
        <v>50</v>
      </c>
      <c r="J26">
        <v>10094.341475795291</v>
      </c>
      <c r="K26">
        <v>10000000</v>
      </c>
      <c r="L26">
        <v>100000</v>
      </c>
      <c r="M26">
        <v>50</v>
      </c>
      <c r="N26">
        <v>4827.7120067648684</v>
      </c>
      <c r="O26" s="3">
        <f t="shared" si="0"/>
        <v>0.80617056380002061</v>
      </c>
      <c r="P26" s="4">
        <f t="shared" si="1"/>
        <v>9217.2283631299779</v>
      </c>
    </row>
    <row r="27" spans="1:16" x14ac:dyDescent="0.25">
      <c r="A27" s="2">
        <v>45408</v>
      </c>
      <c r="B27">
        <v>450674.89980505768</v>
      </c>
      <c r="C27">
        <v>424100.01027254888</v>
      </c>
      <c r="D27">
        <v>10000000</v>
      </c>
      <c r="E27">
        <v>200357.49836598159</v>
      </c>
      <c r="F27">
        <v>40</v>
      </c>
      <c r="G27">
        <v>50</v>
      </c>
      <c r="H27">
        <v>499448.9150163962</v>
      </c>
      <c r="I27">
        <v>50</v>
      </c>
      <c r="J27">
        <v>13133.548216707661</v>
      </c>
      <c r="K27">
        <v>10000000</v>
      </c>
      <c r="L27">
        <v>100000</v>
      </c>
      <c r="M27">
        <v>50</v>
      </c>
      <c r="N27">
        <v>3544.3942193303578</v>
      </c>
      <c r="O27" s="3">
        <f t="shared" si="0"/>
        <v>1.1082243879844118</v>
      </c>
      <c r="P27" s="4">
        <f t="shared" si="1"/>
        <v>9988.9783003279244</v>
      </c>
    </row>
    <row r="28" spans="1:16" x14ac:dyDescent="0.25">
      <c r="A28" s="2">
        <v>45409</v>
      </c>
      <c r="B28">
        <v>457941.50560125691</v>
      </c>
      <c r="C28">
        <v>494855.7939027914</v>
      </c>
      <c r="D28">
        <v>10000000</v>
      </c>
      <c r="E28">
        <v>181074.5595807418</v>
      </c>
      <c r="F28">
        <v>51</v>
      </c>
      <c r="G28">
        <v>50</v>
      </c>
      <c r="H28">
        <v>512098.15739453287</v>
      </c>
      <c r="I28">
        <v>50</v>
      </c>
      <c r="J28">
        <v>8069.8576318269788</v>
      </c>
      <c r="K28">
        <v>10000000</v>
      </c>
      <c r="L28">
        <v>100000</v>
      </c>
      <c r="M28">
        <v>50</v>
      </c>
      <c r="N28">
        <v>3909.937548261852</v>
      </c>
      <c r="O28" s="3">
        <f t="shared" si="0"/>
        <v>1.1182610685663241</v>
      </c>
      <c r="P28" s="4">
        <f t="shared" si="1"/>
        <v>10241.963147890658</v>
      </c>
    </row>
    <row r="29" spans="1:16" x14ac:dyDescent="0.25">
      <c r="A29" s="2">
        <v>45410</v>
      </c>
      <c r="B29">
        <v>471051.12945488608</v>
      </c>
      <c r="C29">
        <v>421661.95863326109</v>
      </c>
      <c r="D29">
        <v>10000000</v>
      </c>
      <c r="E29">
        <v>215794.99958536259</v>
      </c>
      <c r="F29">
        <v>47</v>
      </c>
      <c r="G29">
        <v>50</v>
      </c>
      <c r="H29">
        <v>559439.72773369343</v>
      </c>
      <c r="I29">
        <v>50</v>
      </c>
      <c r="J29">
        <v>9317.8045347823863</v>
      </c>
      <c r="K29">
        <v>10000000</v>
      </c>
      <c r="L29">
        <v>100000</v>
      </c>
      <c r="M29">
        <v>50</v>
      </c>
      <c r="N29">
        <v>5261.0187360659693</v>
      </c>
      <c r="O29" s="3">
        <f t="shared" si="0"/>
        <v>1.187641198060799</v>
      </c>
      <c r="P29" s="4">
        <f t="shared" si="1"/>
        <v>11188.794554673868</v>
      </c>
    </row>
    <row r="30" spans="1:16" x14ac:dyDescent="0.25">
      <c r="A30" s="2">
        <v>45411</v>
      </c>
      <c r="B30">
        <v>521863.98364015803</v>
      </c>
      <c r="C30">
        <v>395341.13021032081</v>
      </c>
      <c r="D30">
        <v>10000000</v>
      </c>
      <c r="E30">
        <v>221788.19247423889</v>
      </c>
      <c r="F30">
        <v>48</v>
      </c>
      <c r="G30">
        <v>50</v>
      </c>
      <c r="H30">
        <v>552279.91995565384</v>
      </c>
      <c r="I30">
        <v>50</v>
      </c>
      <c r="J30">
        <v>11319.07216689139</v>
      </c>
      <c r="K30">
        <v>10000000</v>
      </c>
      <c r="L30">
        <v>100000</v>
      </c>
      <c r="M30">
        <v>50</v>
      </c>
      <c r="N30">
        <v>4440.1309206062142</v>
      </c>
      <c r="O30" s="3">
        <f t="shared" si="0"/>
        <v>1.0582832639710744</v>
      </c>
      <c r="P30" s="4">
        <f t="shared" si="1"/>
        <v>11045.598399113076</v>
      </c>
    </row>
    <row r="31" spans="1:16" x14ac:dyDescent="0.25">
      <c r="A31" s="2">
        <v>45412</v>
      </c>
      <c r="B31">
        <v>491088.66780710028</v>
      </c>
      <c r="C31">
        <v>479067.49332270247</v>
      </c>
      <c r="D31">
        <v>10000000</v>
      </c>
      <c r="E31">
        <v>191853.56342008011</v>
      </c>
      <c r="F31">
        <v>51</v>
      </c>
      <c r="G31">
        <v>50</v>
      </c>
      <c r="H31">
        <v>478037.04481148161</v>
      </c>
      <c r="I31">
        <v>50</v>
      </c>
      <c r="J31">
        <v>13159.835530736969</v>
      </c>
      <c r="K31">
        <v>10000000</v>
      </c>
      <c r="L31">
        <v>100000</v>
      </c>
      <c r="M31">
        <v>50</v>
      </c>
      <c r="N31">
        <v>4972.4012147598778</v>
      </c>
      <c r="O31" s="3">
        <f t="shared" si="0"/>
        <v>0.9734230825282546</v>
      </c>
      <c r="P31" s="4">
        <f t="shared" si="1"/>
        <v>9560.7408962296322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/>
  </sheetViews>
  <sheetFormatPr baseColWidth="10" defaultColWidth="9.140625" defaultRowHeight="15" x14ac:dyDescent="0.25"/>
  <sheetData>
    <row r="1" spans="1:10" ht="60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s="1" t="s">
        <v>127</v>
      </c>
      <c r="J1" s="1" t="s">
        <v>128</v>
      </c>
    </row>
    <row r="2" spans="1:10" x14ac:dyDescent="0.25">
      <c r="A2" s="2">
        <v>45383</v>
      </c>
      <c r="B2">
        <v>45</v>
      </c>
      <c r="C2">
        <v>50</v>
      </c>
      <c r="D2">
        <v>49</v>
      </c>
      <c r="E2">
        <v>50</v>
      </c>
      <c r="F2">
        <v>153</v>
      </c>
      <c r="G2">
        <v>1</v>
      </c>
      <c r="H2">
        <v>1</v>
      </c>
      <c r="I2" s="3">
        <f t="shared" ref="I2:I31" si="0">IF(C2=0, 0, B2/C2)</f>
        <v>0.9</v>
      </c>
      <c r="J2" s="3">
        <f t="shared" ref="J2:J31" si="1">IF(C2=0, 0, H2/C2)</f>
        <v>0.02</v>
      </c>
    </row>
    <row r="3" spans="1:10" x14ac:dyDescent="0.25">
      <c r="A3" s="2">
        <v>45384</v>
      </c>
      <c r="B3">
        <v>47</v>
      </c>
      <c r="C3">
        <v>50</v>
      </c>
      <c r="D3">
        <v>32</v>
      </c>
      <c r="E3">
        <v>50</v>
      </c>
      <c r="F3">
        <v>213</v>
      </c>
      <c r="G3">
        <v>1</v>
      </c>
      <c r="H3">
        <v>1</v>
      </c>
      <c r="I3" s="3">
        <f t="shared" si="0"/>
        <v>0.94</v>
      </c>
      <c r="J3" s="3">
        <f t="shared" si="1"/>
        <v>0.02</v>
      </c>
    </row>
    <row r="4" spans="1:10" x14ac:dyDescent="0.25">
      <c r="A4" s="2">
        <v>45385</v>
      </c>
      <c r="B4">
        <v>51</v>
      </c>
      <c r="C4">
        <v>50</v>
      </c>
      <c r="D4">
        <v>52</v>
      </c>
      <c r="E4">
        <v>50</v>
      </c>
      <c r="F4">
        <v>213</v>
      </c>
      <c r="G4">
        <v>1</v>
      </c>
      <c r="H4">
        <v>1</v>
      </c>
      <c r="I4" s="3">
        <f t="shared" si="0"/>
        <v>1.02</v>
      </c>
      <c r="J4" s="3">
        <f t="shared" si="1"/>
        <v>0.02</v>
      </c>
    </row>
    <row r="5" spans="1:10" x14ac:dyDescent="0.25">
      <c r="A5" s="2">
        <v>45386</v>
      </c>
      <c r="B5">
        <v>51</v>
      </c>
      <c r="C5">
        <v>50</v>
      </c>
      <c r="D5">
        <v>46</v>
      </c>
      <c r="E5">
        <v>50</v>
      </c>
      <c r="F5">
        <v>227</v>
      </c>
      <c r="G5">
        <v>4</v>
      </c>
      <c r="H5">
        <v>0</v>
      </c>
      <c r="I5" s="3">
        <f t="shared" si="0"/>
        <v>1.02</v>
      </c>
      <c r="J5" s="3">
        <f t="shared" si="1"/>
        <v>0</v>
      </c>
    </row>
    <row r="6" spans="1:10" x14ac:dyDescent="0.25">
      <c r="A6" s="2">
        <v>45387</v>
      </c>
      <c r="B6">
        <v>51</v>
      </c>
      <c r="C6">
        <v>50</v>
      </c>
      <c r="D6">
        <v>44</v>
      </c>
      <c r="E6">
        <v>50</v>
      </c>
      <c r="F6">
        <v>162</v>
      </c>
      <c r="G6">
        <v>3</v>
      </c>
      <c r="H6">
        <v>0</v>
      </c>
      <c r="I6" s="3">
        <f t="shared" si="0"/>
        <v>1.02</v>
      </c>
      <c r="J6" s="3">
        <f t="shared" si="1"/>
        <v>0</v>
      </c>
    </row>
    <row r="7" spans="1:10" x14ac:dyDescent="0.25">
      <c r="A7" s="2">
        <v>45388</v>
      </c>
      <c r="B7">
        <v>49</v>
      </c>
      <c r="C7">
        <v>50</v>
      </c>
      <c r="D7">
        <v>47</v>
      </c>
      <c r="E7">
        <v>50</v>
      </c>
      <c r="F7">
        <v>212</v>
      </c>
      <c r="G7">
        <v>2</v>
      </c>
      <c r="H7">
        <v>0</v>
      </c>
      <c r="I7" s="3">
        <f t="shared" si="0"/>
        <v>0.98</v>
      </c>
      <c r="J7" s="3">
        <f t="shared" si="1"/>
        <v>0</v>
      </c>
    </row>
    <row r="8" spans="1:10" x14ac:dyDescent="0.25">
      <c r="A8" s="2">
        <v>45389</v>
      </c>
      <c r="B8">
        <v>46</v>
      </c>
      <c r="C8">
        <v>50</v>
      </c>
      <c r="D8">
        <v>46</v>
      </c>
      <c r="E8">
        <v>50</v>
      </c>
      <c r="F8">
        <v>161</v>
      </c>
      <c r="G8">
        <v>3</v>
      </c>
      <c r="H8">
        <v>2</v>
      </c>
      <c r="I8" s="3">
        <f t="shared" si="0"/>
        <v>0.92</v>
      </c>
      <c r="J8" s="3">
        <f t="shared" si="1"/>
        <v>0.04</v>
      </c>
    </row>
    <row r="9" spans="1:10" x14ac:dyDescent="0.25">
      <c r="A9" s="2">
        <v>45390</v>
      </c>
      <c r="B9">
        <v>46</v>
      </c>
      <c r="C9">
        <v>50</v>
      </c>
      <c r="D9">
        <v>43</v>
      </c>
      <c r="E9">
        <v>50</v>
      </c>
      <c r="F9">
        <v>178</v>
      </c>
      <c r="G9">
        <v>1</v>
      </c>
      <c r="H9">
        <v>1</v>
      </c>
      <c r="I9" s="3">
        <f t="shared" si="0"/>
        <v>0.92</v>
      </c>
      <c r="J9" s="3">
        <f t="shared" si="1"/>
        <v>0.02</v>
      </c>
    </row>
    <row r="10" spans="1:10" x14ac:dyDescent="0.25">
      <c r="A10" s="2">
        <v>45391</v>
      </c>
      <c r="B10">
        <v>46</v>
      </c>
      <c r="C10">
        <v>50</v>
      </c>
      <c r="D10">
        <v>35</v>
      </c>
      <c r="E10">
        <v>50</v>
      </c>
      <c r="F10">
        <v>226</v>
      </c>
      <c r="G10">
        <v>2</v>
      </c>
      <c r="H10">
        <v>0</v>
      </c>
      <c r="I10" s="3">
        <f t="shared" si="0"/>
        <v>0.92</v>
      </c>
      <c r="J10" s="3">
        <f t="shared" si="1"/>
        <v>0</v>
      </c>
    </row>
    <row r="11" spans="1:10" x14ac:dyDescent="0.25">
      <c r="A11" s="2">
        <v>45392</v>
      </c>
      <c r="B11">
        <v>47</v>
      </c>
      <c r="C11">
        <v>50</v>
      </c>
      <c r="D11">
        <v>40</v>
      </c>
      <c r="E11">
        <v>50</v>
      </c>
      <c r="F11">
        <v>167</v>
      </c>
      <c r="G11">
        <v>1</v>
      </c>
      <c r="H11">
        <v>0</v>
      </c>
      <c r="I11" s="3">
        <f t="shared" si="0"/>
        <v>0.94</v>
      </c>
      <c r="J11" s="3">
        <f t="shared" si="1"/>
        <v>0</v>
      </c>
    </row>
    <row r="12" spans="1:10" x14ac:dyDescent="0.25">
      <c r="A12" s="2">
        <v>45393</v>
      </c>
      <c r="B12">
        <v>49</v>
      </c>
      <c r="C12">
        <v>50</v>
      </c>
      <c r="D12">
        <v>48</v>
      </c>
      <c r="E12">
        <v>50</v>
      </c>
      <c r="F12">
        <v>226</v>
      </c>
      <c r="G12">
        <v>2</v>
      </c>
      <c r="H12">
        <v>1</v>
      </c>
      <c r="I12" s="3">
        <f t="shared" si="0"/>
        <v>0.98</v>
      </c>
      <c r="J12" s="3">
        <f t="shared" si="1"/>
        <v>0.02</v>
      </c>
    </row>
    <row r="13" spans="1:10" x14ac:dyDescent="0.25">
      <c r="A13" s="2">
        <v>45394</v>
      </c>
      <c r="B13">
        <v>47</v>
      </c>
      <c r="C13">
        <v>50</v>
      </c>
      <c r="D13">
        <v>41</v>
      </c>
      <c r="E13">
        <v>50</v>
      </c>
      <c r="F13">
        <v>191</v>
      </c>
      <c r="G13">
        <v>1</v>
      </c>
      <c r="H13">
        <v>0</v>
      </c>
      <c r="I13" s="3">
        <f t="shared" si="0"/>
        <v>0.94</v>
      </c>
      <c r="J13" s="3">
        <f t="shared" si="1"/>
        <v>0</v>
      </c>
    </row>
    <row r="14" spans="1:10" x14ac:dyDescent="0.25">
      <c r="A14" s="2">
        <v>45395</v>
      </c>
      <c r="B14">
        <v>48</v>
      </c>
      <c r="C14">
        <v>50</v>
      </c>
      <c r="D14">
        <v>51</v>
      </c>
      <c r="E14">
        <v>50</v>
      </c>
      <c r="F14">
        <v>184</v>
      </c>
      <c r="G14">
        <v>2</v>
      </c>
      <c r="H14">
        <v>1</v>
      </c>
      <c r="I14" s="3">
        <f t="shared" si="0"/>
        <v>0.96</v>
      </c>
      <c r="J14" s="3">
        <f t="shared" si="1"/>
        <v>0.02</v>
      </c>
    </row>
    <row r="15" spans="1:10" x14ac:dyDescent="0.25">
      <c r="A15" s="2">
        <v>45396</v>
      </c>
      <c r="B15">
        <v>49</v>
      </c>
      <c r="C15">
        <v>50</v>
      </c>
      <c r="D15">
        <v>46</v>
      </c>
      <c r="E15">
        <v>50</v>
      </c>
      <c r="F15">
        <v>230</v>
      </c>
      <c r="G15">
        <v>2</v>
      </c>
      <c r="H15">
        <v>0</v>
      </c>
      <c r="I15" s="3">
        <f t="shared" si="0"/>
        <v>0.98</v>
      </c>
      <c r="J15" s="3">
        <f t="shared" si="1"/>
        <v>0</v>
      </c>
    </row>
    <row r="16" spans="1:10" x14ac:dyDescent="0.25">
      <c r="A16" s="2">
        <v>45397</v>
      </c>
      <c r="B16">
        <v>47</v>
      </c>
      <c r="C16">
        <v>50</v>
      </c>
      <c r="D16">
        <v>56</v>
      </c>
      <c r="E16">
        <v>50</v>
      </c>
      <c r="F16">
        <v>227</v>
      </c>
      <c r="G16">
        <v>1</v>
      </c>
      <c r="H16">
        <v>1</v>
      </c>
      <c r="I16" s="3">
        <f t="shared" si="0"/>
        <v>0.94</v>
      </c>
      <c r="J16" s="3">
        <f t="shared" si="1"/>
        <v>0.02</v>
      </c>
    </row>
    <row r="17" spans="1:10" x14ac:dyDescent="0.25">
      <c r="A17" s="2">
        <v>45398</v>
      </c>
      <c r="B17">
        <v>49</v>
      </c>
      <c r="C17">
        <v>50</v>
      </c>
      <c r="D17">
        <v>39</v>
      </c>
      <c r="E17">
        <v>50</v>
      </c>
      <c r="F17">
        <v>213</v>
      </c>
      <c r="G17">
        <v>3</v>
      </c>
      <c r="H17">
        <v>1</v>
      </c>
      <c r="I17" s="3">
        <f t="shared" si="0"/>
        <v>0.98</v>
      </c>
      <c r="J17" s="3">
        <f t="shared" si="1"/>
        <v>0.02</v>
      </c>
    </row>
    <row r="18" spans="1:10" x14ac:dyDescent="0.25">
      <c r="A18" s="2">
        <v>45399</v>
      </c>
      <c r="B18">
        <v>47</v>
      </c>
      <c r="C18">
        <v>50</v>
      </c>
      <c r="D18">
        <v>46</v>
      </c>
      <c r="E18">
        <v>50</v>
      </c>
      <c r="F18">
        <v>160</v>
      </c>
      <c r="G18">
        <v>1</v>
      </c>
      <c r="H18">
        <v>2</v>
      </c>
      <c r="I18" s="3">
        <f t="shared" si="0"/>
        <v>0.94</v>
      </c>
      <c r="J18" s="3">
        <f t="shared" si="1"/>
        <v>0.04</v>
      </c>
    </row>
    <row r="19" spans="1:10" x14ac:dyDescent="0.25">
      <c r="A19" s="2">
        <v>45400</v>
      </c>
      <c r="B19">
        <v>48</v>
      </c>
      <c r="C19">
        <v>50</v>
      </c>
      <c r="D19">
        <v>44</v>
      </c>
      <c r="E19">
        <v>50</v>
      </c>
      <c r="F19">
        <v>222</v>
      </c>
      <c r="G19">
        <v>3</v>
      </c>
      <c r="H19">
        <v>2</v>
      </c>
      <c r="I19" s="3">
        <f t="shared" si="0"/>
        <v>0.96</v>
      </c>
      <c r="J19" s="3">
        <f t="shared" si="1"/>
        <v>0.04</v>
      </c>
    </row>
    <row r="20" spans="1:10" x14ac:dyDescent="0.25">
      <c r="A20" s="2">
        <v>45401</v>
      </c>
      <c r="B20">
        <v>43</v>
      </c>
      <c r="C20">
        <v>50</v>
      </c>
      <c r="D20">
        <v>46</v>
      </c>
      <c r="E20">
        <v>50</v>
      </c>
      <c r="F20">
        <v>220</v>
      </c>
      <c r="G20">
        <v>1</v>
      </c>
      <c r="H20">
        <v>0</v>
      </c>
      <c r="I20" s="3">
        <f t="shared" si="0"/>
        <v>0.86</v>
      </c>
      <c r="J20" s="3">
        <f t="shared" si="1"/>
        <v>0</v>
      </c>
    </row>
    <row r="21" spans="1:10" x14ac:dyDescent="0.25">
      <c r="A21" s="2">
        <v>45402</v>
      </c>
      <c r="B21">
        <v>44</v>
      </c>
      <c r="C21">
        <v>50</v>
      </c>
      <c r="D21">
        <v>41</v>
      </c>
      <c r="E21">
        <v>50</v>
      </c>
      <c r="F21">
        <v>197</v>
      </c>
      <c r="G21">
        <v>3</v>
      </c>
      <c r="H21">
        <v>2</v>
      </c>
      <c r="I21" s="3">
        <f t="shared" si="0"/>
        <v>0.88</v>
      </c>
      <c r="J21" s="3">
        <f t="shared" si="1"/>
        <v>0.04</v>
      </c>
    </row>
    <row r="22" spans="1:10" x14ac:dyDescent="0.25">
      <c r="A22" s="2">
        <v>45403</v>
      </c>
      <c r="B22">
        <v>49</v>
      </c>
      <c r="C22">
        <v>50</v>
      </c>
      <c r="D22">
        <v>45</v>
      </c>
      <c r="E22">
        <v>50</v>
      </c>
      <c r="F22">
        <v>175</v>
      </c>
      <c r="G22">
        <v>3</v>
      </c>
      <c r="H22">
        <v>2</v>
      </c>
      <c r="I22" s="3">
        <f t="shared" si="0"/>
        <v>0.98</v>
      </c>
      <c r="J22" s="3">
        <f t="shared" si="1"/>
        <v>0.04</v>
      </c>
    </row>
    <row r="23" spans="1:10" x14ac:dyDescent="0.25">
      <c r="A23" s="2">
        <v>45404</v>
      </c>
      <c r="B23">
        <v>50</v>
      </c>
      <c r="C23">
        <v>50</v>
      </c>
      <c r="D23">
        <v>42</v>
      </c>
      <c r="E23">
        <v>50</v>
      </c>
      <c r="F23">
        <v>193</v>
      </c>
      <c r="G23">
        <v>0</v>
      </c>
      <c r="H23">
        <v>1</v>
      </c>
      <c r="I23" s="3">
        <f t="shared" si="0"/>
        <v>1</v>
      </c>
      <c r="J23" s="3">
        <f t="shared" si="1"/>
        <v>0.02</v>
      </c>
    </row>
    <row r="24" spans="1:10" x14ac:dyDescent="0.25">
      <c r="A24" s="2">
        <v>45405</v>
      </c>
      <c r="B24">
        <v>47</v>
      </c>
      <c r="C24">
        <v>50</v>
      </c>
      <c r="D24">
        <v>39</v>
      </c>
      <c r="E24">
        <v>50</v>
      </c>
      <c r="F24">
        <v>244</v>
      </c>
      <c r="G24">
        <v>3</v>
      </c>
      <c r="H24">
        <v>1</v>
      </c>
      <c r="I24" s="3">
        <f t="shared" si="0"/>
        <v>0.94</v>
      </c>
      <c r="J24" s="3">
        <f t="shared" si="1"/>
        <v>0.02</v>
      </c>
    </row>
    <row r="25" spans="1:10" x14ac:dyDescent="0.25">
      <c r="A25" s="2">
        <v>45406</v>
      </c>
      <c r="B25">
        <v>47</v>
      </c>
      <c r="C25">
        <v>50</v>
      </c>
      <c r="D25">
        <v>57</v>
      </c>
      <c r="E25">
        <v>50</v>
      </c>
      <c r="F25">
        <v>165</v>
      </c>
      <c r="G25">
        <v>2</v>
      </c>
      <c r="H25">
        <v>2</v>
      </c>
      <c r="I25" s="3">
        <f t="shared" si="0"/>
        <v>0.94</v>
      </c>
      <c r="J25" s="3">
        <f t="shared" si="1"/>
        <v>0.04</v>
      </c>
    </row>
    <row r="26" spans="1:10" x14ac:dyDescent="0.25">
      <c r="A26" s="2">
        <v>45407</v>
      </c>
      <c r="B26">
        <v>49</v>
      </c>
      <c r="C26">
        <v>50</v>
      </c>
      <c r="D26">
        <v>48</v>
      </c>
      <c r="E26">
        <v>50</v>
      </c>
      <c r="F26">
        <v>159</v>
      </c>
      <c r="G26">
        <v>2</v>
      </c>
      <c r="H26">
        <v>2</v>
      </c>
      <c r="I26" s="3">
        <f t="shared" si="0"/>
        <v>0.98</v>
      </c>
      <c r="J26" s="3">
        <f t="shared" si="1"/>
        <v>0.04</v>
      </c>
    </row>
    <row r="27" spans="1:10" x14ac:dyDescent="0.25">
      <c r="A27" s="2">
        <v>45408</v>
      </c>
      <c r="B27">
        <v>50</v>
      </c>
      <c r="C27">
        <v>50</v>
      </c>
      <c r="D27">
        <v>49</v>
      </c>
      <c r="E27">
        <v>50</v>
      </c>
      <c r="F27">
        <v>218</v>
      </c>
      <c r="G27">
        <v>1</v>
      </c>
      <c r="H27">
        <v>1</v>
      </c>
      <c r="I27" s="3">
        <f t="shared" si="0"/>
        <v>1</v>
      </c>
      <c r="J27" s="3">
        <f t="shared" si="1"/>
        <v>0.02</v>
      </c>
    </row>
    <row r="28" spans="1:10" x14ac:dyDescent="0.25">
      <c r="A28" s="2">
        <v>45409</v>
      </c>
      <c r="B28">
        <v>52</v>
      </c>
      <c r="C28">
        <v>50</v>
      </c>
      <c r="D28">
        <v>49</v>
      </c>
      <c r="E28">
        <v>50</v>
      </c>
      <c r="F28">
        <v>176</v>
      </c>
      <c r="G28">
        <v>2</v>
      </c>
      <c r="H28">
        <v>0</v>
      </c>
      <c r="I28" s="3">
        <f t="shared" si="0"/>
        <v>1.04</v>
      </c>
      <c r="J28" s="3">
        <f t="shared" si="1"/>
        <v>0</v>
      </c>
    </row>
    <row r="29" spans="1:10" x14ac:dyDescent="0.25">
      <c r="A29" s="2">
        <v>45410</v>
      </c>
      <c r="B29">
        <v>47</v>
      </c>
      <c r="C29">
        <v>50</v>
      </c>
      <c r="D29">
        <v>44</v>
      </c>
      <c r="E29">
        <v>50</v>
      </c>
      <c r="F29">
        <v>219</v>
      </c>
      <c r="G29">
        <v>1</v>
      </c>
      <c r="H29">
        <v>1</v>
      </c>
      <c r="I29" s="3">
        <f t="shared" si="0"/>
        <v>0.94</v>
      </c>
      <c r="J29" s="3">
        <f t="shared" si="1"/>
        <v>0.02</v>
      </c>
    </row>
    <row r="30" spans="1:10" x14ac:dyDescent="0.25">
      <c r="A30" s="2">
        <v>45411</v>
      </c>
      <c r="B30">
        <v>48</v>
      </c>
      <c r="C30">
        <v>50</v>
      </c>
      <c r="D30">
        <v>50</v>
      </c>
      <c r="E30">
        <v>50</v>
      </c>
      <c r="F30">
        <v>229</v>
      </c>
      <c r="G30">
        <v>2</v>
      </c>
      <c r="H30">
        <v>0</v>
      </c>
      <c r="I30" s="3">
        <f t="shared" si="0"/>
        <v>0.96</v>
      </c>
      <c r="J30" s="3">
        <f t="shared" si="1"/>
        <v>0</v>
      </c>
    </row>
    <row r="31" spans="1:10" x14ac:dyDescent="0.25">
      <c r="A31" s="2">
        <v>45412</v>
      </c>
      <c r="B31">
        <v>49</v>
      </c>
      <c r="C31">
        <v>50</v>
      </c>
      <c r="D31">
        <v>41</v>
      </c>
      <c r="E31">
        <v>50</v>
      </c>
      <c r="F31">
        <v>169</v>
      </c>
      <c r="G31">
        <v>3</v>
      </c>
      <c r="H31">
        <v>1</v>
      </c>
      <c r="I31" s="3">
        <f t="shared" si="0"/>
        <v>0.98</v>
      </c>
      <c r="J31" s="3">
        <f t="shared" si="1"/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workbookViewId="0"/>
  </sheetViews>
  <sheetFormatPr baseColWidth="10" defaultColWidth="9.140625" defaultRowHeight="15" x14ac:dyDescent="0.25"/>
  <sheetData>
    <row r="1" spans="1:11" ht="60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s="1" t="s">
        <v>129</v>
      </c>
      <c r="J1" s="1" t="s">
        <v>130</v>
      </c>
      <c r="K1" s="1" t="s">
        <v>131</v>
      </c>
    </row>
    <row r="2" spans="1:11" x14ac:dyDescent="0.25">
      <c r="A2" s="2">
        <v>45383</v>
      </c>
      <c r="B2">
        <v>132263.2489283027</v>
      </c>
      <c r="C2">
        <v>47</v>
      </c>
      <c r="D2">
        <v>50</v>
      </c>
      <c r="E2">
        <v>50</v>
      </c>
      <c r="F2">
        <v>96</v>
      </c>
      <c r="G2">
        <v>100000</v>
      </c>
      <c r="H2">
        <v>143670.00884465859</v>
      </c>
      <c r="I2" s="3">
        <f t="shared" ref="I2:I31" si="0">IF(D2=0, 0, C2/D2)</f>
        <v>0.94</v>
      </c>
      <c r="J2" s="3">
        <f t="shared" ref="J2:J31" si="1">IF(G2=0, 0, (H2-G2)/G2)</f>
        <v>0.43670008844658587</v>
      </c>
      <c r="K2" s="4">
        <f t="shared" ref="K2:K31" si="2">E2+F2</f>
        <v>146</v>
      </c>
    </row>
    <row r="3" spans="1:11" x14ac:dyDescent="0.25">
      <c r="A3" s="2">
        <v>45384</v>
      </c>
      <c r="B3">
        <v>134052.68400326429</v>
      </c>
      <c r="C3">
        <v>48</v>
      </c>
      <c r="D3">
        <v>50</v>
      </c>
      <c r="E3">
        <v>50</v>
      </c>
      <c r="F3">
        <v>103</v>
      </c>
      <c r="G3">
        <v>100000</v>
      </c>
      <c r="H3">
        <v>136424.53511415081</v>
      </c>
      <c r="I3" s="3">
        <f t="shared" si="0"/>
        <v>0.96</v>
      </c>
      <c r="J3" s="3">
        <f t="shared" si="1"/>
        <v>0.36424535114150813</v>
      </c>
      <c r="K3" s="4">
        <f t="shared" si="2"/>
        <v>153</v>
      </c>
    </row>
    <row r="4" spans="1:11" x14ac:dyDescent="0.25">
      <c r="A4" s="2">
        <v>45385</v>
      </c>
      <c r="B4">
        <v>124229.2434876284</v>
      </c>
      <c r="C4">
        <v>47</v>
      </c>
      <c r="D4">
        <v>50</v>
      </c>
      <c r="E4">
        <v>50</v>
      </c>
      <c r="F4">
        <v>106</v>
      </c>
      <c r="G4">
        <v>100000</v>
      </c>
      <c r="H4">
        <v>116856.02074219831</v>
      </c>
      <c r="I4" s="3">
        <f t="shared" si="0"/>
        <v>0.94</v>
      </c>
      <c r="J4" s="3">
        <f t="shared" si="1"/>
        <v>0.16856020742198308</v>
      </c>
      <c r="K4" s="4">
        <f t="shared" si="2"/>
        <v>156</v>
      </c>
    </row>
    <row r="5" spans="1:11" x14ac:dyDescent="0.25">
      <c r="A5" s="2">
        <v>45386</v>
      </c>
      <c r="B5">
        <v>148603.67635537311</v>
      </c>
      <c r="C5">
        <v>48</v>
      </c>
      <c r="D5">
        <v>50</v>
      </c>
      <c r="E5">
        <v>50</v>
      </c>
      <c r="F5">
        <v>91</v>
      </c>
      <c r="G5">
        <v>100000</v>
      </c>
      <c r="H5">
        <v>131417.79418061179</v>
      </c>
      <c r="I5" s="3">
        <f t="shared" si="0"/>
        <v>0.96</v>
      </c>
      <c r="J5" s="3">
        <f t="shared" si="1"/>
        <v>0.31417794180611791</v>
      </c>
      <c r="K5" s="4">
        <f t="shared" si="2"/>
        <v>141</v>
      </c>
    </row>
    <row r="6" spans="1:11" x14ac:dyDescent="0.25">
      <c r="A6" s="2">
        <v>45387</v>
      </c>
      <c r="B6">
        <v>145535.41574162501</v>
      </c>
      <c r="C6">
        <v>49</v>
      </c>
      <c r="D6">
        <v>50</v>
      </c>
      <c r="E6">
        <v>50</v>
      </c>
      <c r="F6">
        <v>99</v>
      </c>
      <c r="G6">
        <v>100000</v>
      </c>
      <c r="H6">
        <v>167562.9214711517</v>
      </c>
      <c r="I6" s="3">
        <f t="shared" si="0"/>
        <v>0.98</v>
      </c>
      <c r="J6" s="3">
        <f t="shared" si="1"/>
        <v>0.67562921471151693</v>
      </c>
      <c r="K6" s="4">
        <f t="shared" si="2"/>
        <v>149</v>
      </c>
    </row>
    <row r="7" spans="1:11" x14ac:dyDescent="0.25">
      <c r="A7" s="2">
        <v>45388</v>
      </c>
      <c r="B7">
        <v>159899.20607369181</v>
      </c>
      <c r="C7">
        <v>46</v>
      </c>
      <c r="D7">
        <v>50</v>
      </c>
      <c r="E7">
        <v>50</v>
      </c>
      <c r="F7">
        <v>99</v>
      </c>
      <c r="G7">
        <v>100000</v>
      </c>
      <c r="H7">
        <v>159240.71094856161</v>
      </c>
      <c r="I7" s="3">
        <f t="shared" si="0"/>
        <v>0.92</v>
      </c>
      <c r="J7" s="3">
        <f t="shared" si="1"/>
        <v>0.59240710948561615</v>
      </c>
      <c r="K7" s="4">
        <f t="shared" si="2"/>
        <v>149</v>
      </c>
    </row>
    <row r="8" spans="1:11" x14ac:dyDescent="0.25">
      <c r="A8" s="2">
        <v>45389</v>
      </c>
      <c r="B8">
        <v>148292.5357211286</v>
      </c>
      <c r="C8">
        <v>46</v>
      </c>
      <c r="D8">
        <v>50</v>
      </c>
      <c r="E8">
        <v>50</v>
      </c>
      <c r="F8">
        <v>103</v>
      </c>
      <c r="G8">
        <v>100000</v>
      </c>
      <c r="H8">
        <v>146838.153167935</v>
      </c>
      <c r="I8" s="3">
        <f t="shared" si="0"/>
        <v>0.92</v>
      </c>
      <c r="J8" s="3">
        <f t="shared" si="1"/>
        <v>0.46838153167934998</v>
      </c>
      <c r="K8" s="4">
        <f t="shared" si="2"/>
        <v>153</v>
      </c>
    </row>
    <row r="9" spans="1:11" x14ac:dyDescent="0.25">
      <c r="A9" s="2">
        <v>45390</v>
      </c>
      <c r="B9">
        <v>112913.444310823</v>
      </c>
      <c r="C9">
        <v>48</v>
      </c>
      <c r="D9">
        <v>50</v>
      </c>
      <c r="E9">
        <v>50</v>
      </c>
      <c r="F9">
        <v>104</v>
      </c>
      <c r="G9">
        <v>100000</v>
      </c>
      <c r="H9">
        <v>137730.10361687239</v>
      </c>
      <c r="I9" s="3">
        <f t="shared" si="0"/>
        <v>0.96</v>
      </c>
      <c r="J9" s="3">
        <f t="shared" si="1"/>
        <v>0.37730103616872396</v>
      </c>
      <c r="K9" s="4">
        <f t="shared" si="2"/>
        <v>154</v>
      </c>
    </row>
    <row r="10" spans="1:11" x14ac:dyDescent="0.25">
      <c r="A10" s="2">
        <v>45391</v>
      </c>
      <c r="B10">
        <v>193688.4955264767</v>
      </c>
      <c r="C10">
        <v>48</v>
      </c>
      <c r="D10">
        <v>50</v>
      </c>
      <c r="E10">
        <v>50</v>
      </c>
      <c r="F10">
        <v>103</v>
      </c>
      <c r="G10">
        <v>100000</v>
      </c>
      <c r="H10">
        <v>126163.0375634644</v>
      </c>
      <c r="I10" s="3">
        <f t="shared" si="0"/>
        <v>0.96</v>
      </c>
      <c r="J10" s="3">
        <f t="shared" si="1"/>
        <v>0.26163037563464403</v>
      </c>
      <c r="K10" s="4">
        <f t="shared" si="2"/>
        <v>153</v>
      </c>
    </row>
    <row r="11" spans="1:11" x14ac:dyDescent="0.25">
      <c r="A11" s="2">
        <v>45392</v>
      </c>
      <c r="B11">
        <v>166566.90438824211</v>
      </c>
      <c r="C11">
        <v>48</v>
      </c>
      <c r="D11">
        <v>50</v>
      </c>
      <c r="E11">
        <v>50</v>
      </c>
      <c r="F11">
        <v>102</v>
      </c>
      <c r="G11">
        <v>100000</v>
      </c>
      <c r="H11">
        <v>136165.34822166161</v>
      </c>
      <c r="I11" s="3">
        <f t="shared" si="0"/>
        <v>0.96</v>
      </c>
      <c r="J11" s="3">
        <f t="shared" si="1"/>
        <v>0.36165348221661608</v>
      </c>
      <c r="K11" s="4">
        <f t="shared" si="2"/>
        <v>152</v>
      </c>
    </row>
    <row r="12" spans="1:11" x14ac:dyDescent="0.25">
      <c r="A12" s="2">
        <v>45393</v>
      </c>
      <c r="B12">
        <v>142861.60477608399</v>
      </c>
      <c r="C12">
        <v>50</v>
      </c>
      <c r="D12">
        <v>50</v>
      </c>
      <c r="E12">
        <v>50</v>
      </c>
      <c r="F12">
        <v>100</v>
      </c>
      <c r="G12">
        <v>100000</v>
      </c>
      <c r="H12">
        <v>141062.6399765707</v>
      </c>
      <c r="I12" s="3">
        <f t="shared" si="0"/>
        <v>1</v>
      </c>
      <c r="J12" s="3">
        <f t="shared" si="1"/>
        <v>0.41062639976570703</v>
      </c>
      <c r="K12" s="4">
        <f t="shared" si="2"/>
        <v>150</v>
      </c>
    </row>
    <row r="13" spans="1:11" x14ac:dyDescent="0.25">
      <c r="A13" s="2">
        <v>45394</v>
      </c>
      <c r="B13">
        <v>150172.33955955741</v>
      </c>
      <c r="C13">
        <v>49</v>
      </c>
      <c r="D13">
        <v>50</v>
      </c>
      <c r="E13">
        <v>50</v>
      </c>
      <c r="F13">
        <v>102</v>
      </c>
      <c r="G13">
        <v>100000</v>
      </c>
      <c r="H13">
        <v>124640.6522217952</v>
      </c>
      <c r="I13" s="3">
        <f t="shared" si="0"/>
        <v>0.98</v>
      </c>
      <c r="J13" s="3">
        <f t="shared" si="1"/>
        <v>0.24640652221795201</v>
      </c>
      <c r="K13" s="4">
        <f t="shared" si="2"/>
        <v>152</v>
      </c>
    </row>
    <row r="14" spans="1:11" x14ac:dyDescent="0.25">
      <c r="A14" s="2">
        <v>45395</v>
      </c>
      <c r="B14">
        <v>164246.82317952081</v>
      </c>
      <c r="C14">
        <v>48</v>
      </c>
      <c r="D14">
        <v>50</v>
      </c>
      <c r="E14">
        <v>50</v>
      </c>
      <c r="F14">
        <v>97</v>
      </c>
      <c r="G14">
        <v>100000</v>
      </c>
      <c r="H14">
        <v>143446.1741930297</v>
      </c>
      <c r="I14" s="3">
        <f t="shared" si="0"/>
        <v>0.96</v>
      </c>
      <c r="J14" s="3">
        <f t="shared" si="1"/>
        <v>0.43446174193029702</v>
      </c>
      <c r="K14" s="4">
        <f t="shared" si="2"/>
        <v>147</v>
      </c>
    </row>
    <row r="15" spans="1:11" x14ac:dyDescent="0.25">
      <c r="A15" s="2">
        <v>45396</v>
      </c>
      <c r="B15">
        <v>129548.7548336055</v>
      </c>
      <c r="C15">
        <v>48</v>
      </c>
      <c r="D15">
        <v>50</v>
      </c>
      <c r="E15">
        <v>50</v>
      </c>
      <c r="F15">
        <v>99</v>
      </c>
      <c r="G15">
        <v>100000</v>
      </c>
      <c r="H15">
        <v>164937.2925505577</v>
      </c>
      <c r="I15" s="3">
        <f t="shared" si="0"/>
        <v>0.96</v>
      </c>
      <c r="J15" s="3">
        <f t="shared" si="1"/>
        <v>0.64937292550557701</v>
      </c>
      <c r="K15" s="4">
        <f t="shared" si="2"/>
        <v>149</v>
      </c>
    </row>
    <row r="16" spans="1:11" x14ac:dyDescent="0.25">
      <c r="A16" s="2">
        <v>45397</v>
      </c>
      <c r="B16">
        <v>182212.87233627931</v>
      </c>
      <c r="C16">
        <v>48</v>
      </c>
      <c r="D16">
        <v>50</v>
      </c>
      <c r="E16">
        <v>50</v>
      </c>
      <c r="F16">
        <v>98</v>
      </c>
      <c r="G16">
        <v>100000</v>
      </c>
      <c r="H16">
        <v>138978.26925868631</v>
      </c>
      <c r="I16" s="3">
        <f t="shared" si="0"/>
        <v>0.96</v>
      </c>
      <c r="J16" s="3">
        <f t="shared" si="1"/>
        <v>0.3897826925868631</v>
      </c>
      <c r="K16" s="4">
        <f t="shared" si="2"/>
        <v>148</v>
      </c>
    </row>
    <row r="17" spans="1:11" x14ac:dyDescent="0.25">
      <c r="A17" s="2">
        <v>45398</v>
      </c>
      <c r="B17">
        <v>110518.78252879879</v>
      </c>
      <c r="C17">
        <v>48</v>
      </c>
      <c r="D17">
        <v>50</v>
      </c>
      <c r="E17">
        <v>50</v>
      </c>
      <c r="F17">
        <v>99</v>
      </c>
      <c r="G17">
        <v>100000</v>
      </c>
      <c r="H17">
        <v>136513.50549477289</v>
      </c>
      <c r="I17" s="3">
        <f t="shared" si="0"/>
        <v>0.96</v>
      </c>
      <c r="J17" s="3">
        <f t="shared" si="1"/>
        <v>0.36513505494772891</v>
      </c>
      <c r="K17" s="4">
        <f t="shared" si="2"/>
        <v>149</v>
      </c>
    </row>
    <row r="18" spans="1:11" x14ac:dyDescent="0.25">
      <c r="A18" s="2">
        <v>45399</v>
      </c>
      <c r="B18">
        <v>144239.08110537651</v>
      </c>
      <c r="C18">
        <v>53</v>
      </c>
      <c r="D18">
        <v>50</v>
      </c>
      <c r="E18">
        <v>50</v>
      </c>
      <c r="F18">
        <v>96</v>
      </c>
      <c r="G18">
        <v>100000</v>
      </c>
      <c r="H18">
        <v>118947.8542451652</v>
      </c>
      <c r="I18" s="3">
        <f t="shared" si="0"/>
        <v>1.06</v>
      </c>
      <c r="J18" s="3">
        <f t="shared" si="1"/>
        <v>0.18947854245165202</v>
      </c>
      <c r="K18" s="4">
        <f t="shared" si="2"/>
        <v>146</v>
      </c>
    </row>
    <row r="19" spans="1:11" x14ac:dyDescent="0.25">
      <c r="A19" s="2">
        <v>45400</v>
      </c>
      <c r="B19">
        <v>166873.15810359741</v>
      </c>
      <c r="C19">
        <v>53</v>
      </c>
      <c r="D19">
        <v>50</v>
      </c>
      <c r="E19">
        <v>50</v>
      </c>
      <c r="F19">
        <v>103</v>
      </c>
      <c r="G19">
        <v>100000</v>
      </c>
      <c r="H19">
        <v>143627.70267610039</v>
      </c>
      <c r="I19" s="3">
        <f t="shared" si="0"/>
        <v>1.06</v>
      </c>
      <c r="J19" s="3">
        <f t="shared" si="1"/>
        <v>0.43627702676100394</v>
      </c>
      <c r="K19" s="4">
        <f t="shared" si="2"/>
        <v>153</v>
      </c>
    </row>
    <row r="20" spans="1:11" x14ac:dyDescent="0.25">
      <c r="A20" s="2">
        <v>45401</v>
      </c>
      <c r="B20">
        <v>143172.44858066851</v>
      </c>
      <c r="C20">
        <v>47</v>
      </c>
      <c r="D20">
        <v>50</v>
      </c>
      <c r="E20">
        <v>50</v>
      </c>
      <c r="F20">
        <v>92</v>
      </c>
      <c r="G20">
        <v>100000</v>
      </c>
      <c r="H20">
        <v>131380.82968471269</v>
      </c>
      <c r="I20" s="3">
        <f t="shared" si="0"/>
        <v>0.94</v>
      </c>
      <c r="J20" s="3">
        <f t="shared" si="1"/>
        <v>0.31380829684712691</v>
      </c>
      <c r="K20" s="4">
        <f t="shared" si="2"/>
        <v>142</v>
      </c>
    </row>
    <row r="21" spans="1:11" x14ac:dyDescent="0.25">
      <c r="A21" s="2">
        <v>45402</v>
      </c>
      <c r="B21">
        <v>186113.51856916741</v>
      </c>
      <c r="C21">
        <v>45</v>
      </c>
      <c r="D21">
        <v>50</v>
      </c>
      <c r="E21">
        <v>50</v>
      </c>
      <c r="F21">
        <v>105</v>
      </c>
      <c r="G21">
        <v>100000</v>
      </c>
      <c r="H21">
        <v>116004.7877227499</v>
      </c>
      <c r="I21" s="3">
        <f t="shared" si="0"/>
        <v>0.9</v>
      </c>
      <c r="J21" s="3">
        <f t="shared" si="1"/>
        <v>0.16004787722749897</v>
      </c>
      <c r="K21" s="4">
        <f t="shared" si="2"/>
        <v>155</v>
      </c>
    </row>
    <row r="22" spans="1:11" x14ac:dyDescent="0.25">
      <c r="A22" s="2">
        <v>45403</v>
      </c>
      <c r="B22">
        <v>170304.48912451751</v>
      </c>
      <c r="C22">
        <v>49</v>
      </c>
      <c r="D22">
        <v>50</v>
      </c>
      <c r="E22">
        <v>50</v>
      </c>
      <c r="F22">
        <v>109</v>
      </c>
      <c r="G22">
        <v>100000</v>
      </c>
      <c r="H22">
        <v>148755.87384367461</v>
      </c>
      <c r="I22" s="3">
        <f t="shared" si="0"/>
        <v>0.98</v>
      </c>
      <c r="J22" s="3">
        <f t="shared" si="1"/>
        <v>0.48755873843674608</v>
      </c>
      <c r="K22" s="4">
        <f t="shared" si="2"/>
        <v>159</v>
      </c>
    </row>
    <row r="23" spans="1:11" x14ac:dyDescent="0.25">
      <c r="A23" s="2">
        <v>45404</v>
      </c>
      <c r="B23">
        <v>123551.04620045979</v>
      </c>
      <c r="C23">
        <v>48</v>
      </c>
      <c r="D23">
        <v>50</v>
      </c>
      <c r="E23">
        <v>50</v>
      </c>
      <c r="F23">
        <v>96</v>
      </c>
      <c r="G23">
        <v>100000</v>
      </c>
      <c r="H23">
        <v>141797.52421018641</v>
      </c>
      <c r="I23" s="3">
        <f t="shared" si="0"/>
        <v>0.96</v>
      </c>
      <c r="J23" s="3">
        <f t="shared" si="1"/>
        <v>0.41797524210186415</v>
      </c>
      <c r="K23" s="4">
        <f t="shared" si="2"/>
        <v>146</v>
      </c>
    </row>
    <row r="24" spans="1:11" x14ac:dyDescent="0.25">
      <c r="A24" s="2">
        <v>45405</v>
      </c>
      <c r="B24">
        <v>150281.18075329269</v>
      </c>
      <c r="C24">
        <v>49</v>
      </c>
      <c r="D24">
        <v>50</v>
      </c>
      <c r="E24">
        <v>50</v>
      </c>
      <c r="F24">
        <v>101</v>
      </c>
      <c r="G24">
        <v>100000</v>
      </c>
      <c r="H24">
        <v>134839.19135426599</v>
      </c>
      <c r="I24" s="3">
        <f t="shared" si="0"/>
        <v>0.98</v>
      </c>
      <c r="J24" s="3">
        <f t="shared" si="1"/>
        <v>0.34839191354265991</v>
      </c>
      <c r="K24" s="4">
        <f t="shared" si="2"/>
        <v>151</v>
      </c>
    </row>
    <row r="25" spans="1:11" x14ac:dyDescent="0.25">
      <c r="A25" s="2">
        <v>45406</v>
      </c>
      <c r="B25">
        <v>129842.492109382</v>
      </c>
      <c r="C25">
        <v>47</v>
      </c>
      <c r="D25">
        <v>50</v>
      </c>
      <c r="E25">
        <v>50</v>
      </c>
      <c r="F25">
        <v>91</v>
      </c>
      <c r="G25">
        <v>100000</v>
      </c>
      <c r="H25">
        <v>147667.9151390187</v>
      </c>
      <c r="I25" s="3">
        <f t="shared" si="0"/>
        <v>0.94</v>
      </c>
      <c r="J25" s="3">
        <f t="shared" si="1"/>
        <v>0.47667915139018702</v>
      </c>
      <c r="K25" s="4">
        <f t="shared" si="2"/>
        <v>141</v>
      </c>
    </row>
    <row r="26" spans="1:11" x14ac:dyDescent="0.25">
      <c r="A26" s="2">
        <v>45407</v>
      </c>
      <c r="B26">
        <v>157719.74875475219</v>
      </c>
      <c r="C26">
        <v>47</v>
      </c>
      <c r="D26">
        <v>50</v>
      </c>
      <c r="E26">
        <v>50</v>
      </c>
      <c r="F26">
        <v>101</v>
      </c>
      <c r="G26">
        <v>100000</v>
      </c>
      <c r="H26">
        <v>139655.46570326429</v>
      </c>
      <c r="I26" s="3">
        <f t="shared" si="0"/>
        <v>0.94</v>
      </c>
      <c r="J26" s="3">
        <f t="shared" si="1"/>
        <v>0.39655465703264287</v>
      </c>
      <c r="K26" s="4">
        <f t="shared" si="2"/>
        <v>151</v>
      </c>
    </row>
    <row r="27" spans="1:11" x14ac:dyDescent="0.25">
      <c r="A27" s="2">
        <v>45408</v>
      </c>
      <c r="B27">
        <v>176295.77676212639</v>
      </c>
      <c r="C27">
        <v>49</v>
      </c>
      <c r="D27">
        <v>50</v>
      </c>
      <c r="E27">
        <v>50</v>
      </c>
      <c r="F27">
        <v>97</v>
      </c>
      <c r="G27">
        <v>100000</v>
      </c>
      <c r="H27">
        <v>139022.2394406478</v>
      </c>
      <c r="I27" s="3">
        <f t="shared" si="0"/>
        <v>0.98</v>
      </c>
      <c r="J27" s="3">
        <f t="shared" si="1"/>
        <v>0.39022239440647799</v>
      </c>
      <c r="K27" s="4">
        <f t="shared" si="2"/>
        <v>147</v>
      </c>
    </row>
    <row r="28" spans="1:11" x14ac:dyDescent="0.25">
      <c r="A28" s="2">
        <v>45409</v>
      </c>
      <c r="B28">
        <v>179021.5809457094</v>
      </c>
      <c r="C28">
        <v>48</v>
      </c>
      <c r="D28">
        <v>50</v>
      </c>
      <c r="E28">
        <v>50</v>
      </c>
      <c r="F28">
        <v>103</v>
      </c>
      <c r="G28">
        <v>100000</v>
      </c>
      <c r="H28">
        <v>137765.59504157171</v>
      </c>
      <c r="I28" s="3">
        <f t="shared" si="0"/>
        <v>0.96</v>
      </c>
      <c r="J28" s="3">
        <f t="shared" si="1"/>
        <v>0.37765595041571709</v>
      </c>
      <c r="K28" s="4">
        <f t="shared" si="2"/>
        <v>153</v>
      </c>
    </row>
    <row r="29" spans="1:11" x14ac:dyDescent="0.25">
      <c r="A29" s="2">
        <v>45410</v>
      </c>
      <c r="B29">
        <v>152739.49783500671</v>
      </c>
      <c r="C29">
        <v>48</v>
      </c>
      <c r="D29">
        <v>50</v>
      </c>
      <c r="E29">
        <v>50</v>
      </c>
      <c r="F29">
        <v>97</v>
      </c>
      <c r="G29">
        <v>100000</v>
      </c>
      <c r="H29">
        <v>134176.3419571394</v>
      </c>
      <c r="I29" s="3">
        <f t="shared" si="0"/>
        <v>0.96</v>
      </c>
      <c r="J29" s="3">
        <f t="shared" si="1"/>
        <v>0.34176341957139406</v>
      </c>
      <c r="K29" s="4">
        <f t="shared" si="2"/>
        <v>147</v>
      </c>
    </row>
    <row r="30" spans="1:11" x14ac:dyDescent="0.25">
      <c r="A30" s="2">
        <v>45411</v>
      </c>
      <c r="B30">
        <v>124461.99812589549</v>
      </c>
      <c r="C30">
        <v>46</v>
      </c>
      <c r="D30">
        <v>50</v>
      </c>
      <c r="E30">
        <v>50</v>
      </c>
      <c r="F30">
        <v>100</v>
      </c>
      <c r="G30">
        <v>100000</v>
      </c>
      <c r="H30">
        <v>140225.39507007651</v>
      </c>
      <c r="I30" s="3">
        <f t="shared" si="0"/>
        <v>0.92</v>
      </c>
      <c r="J30" s="3">
        <f t="shared" si="1"/>
        <v>0.40225395070076514</v>
      </c>
      <c r="K30" s="4">
        <f t="shared" si="2"/>
        <v>150</v>
      </c>
    </row>
    <row r="31" spans="1:11" x14ac:dyDescent="0.25">
      <c r="A31" s="2">
        <v>45412</v>
      </c>
      <c r="B31">
        <v>183976.02739053429</v>
      </c>
      <c r="C31">
        <v>45</v>
      </c>
      <c r="D31">
        <v>50</v>
      </c>
      <c r="E31">
        <v>50</v>
      </c>
      <c r="F31">
        <v>104</v>
      </c>
      <c r="G31">
        <v>100000</v>
      </c>
      <c r="H31">
        <v>136631.85101871891</v>
      </c>
      <c r="I31" s="3">
        <f t="shared" si="0"/>
        <v>0.9</v>
      </c>
      <c r="J31" s="3">
        <f t="shared" si="1"/>
        <v>0.36631851018718908</v>
      </c>
      <c r="K31" s="4">
        <f t="shared" si="2"/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/>
  </sheetViews>
  <sheetFormatPr baseColWidth="10" defaultColWidth="9.140625" defaultRowHeight="15" x14ac:dyDescent="0.25"/>
  <sheetData>
    <row r="1" spans="1:8" ht="45" x14ac:dyDescent="0.25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s="1" t="s">
        <v>132</v>
      </c>
    </row>
    <row r="2" spans="1:8" x14ac:dyDescent="0.25">
      <c r="A2" s="2">
        <v>45383</v>
      </c>
      <c r="B2">
        <v>41</v>
      </c>
      <c r="C2">
        <v>50</v>
      </c>
      <c r="D2">
        <v>374636.80845510197</v>
      </c>
      <c r="E2">
        <v>3520.6911788742732</v>
      </c>
      <c r="F2">
        <v>41</v>
      </c>
      <c r="G2">
        <v>64</v>
      </c>
      <c r="H2" s="3">
        <f t="shared" ref="H2:H31" si="0">IF(C2=0, 0, B2/C2)</f>
        <v>0.82</v>
      </c>
    </row>
    <row r="3" spans="1:8" x14ac:dyDescent="0.25">
      <c r="A3" s="2">
        <v>45384</v>
      </c>
      <c r="B3">
        <v>46</v>
      </c>
      <c r="C3">
        <v>50</v>
      </c>
      <c r="D3">
        <v>369466.67961571761</v>
      </c>
      <c r="E3">
        <v>3475.0768113651998</v>
      </c>
      <c r="F3">
        <v>50</v>
      </c>
      <c r="G3">
        <v>73</v>
      </c>
      <c r="H3" s="3">
        <f t="shared" si="0"/>
        <v>0.92</v>
      </c>
    </row>
    <row r="4" spans="1:8" x14ac:dyDescent="0.25">
      <c r="A4" s="2">
        <v>45385</v>
      </c>
      <c r="B4">
        <v>46</v>
      </c>
      <c r="C4">
        <v>50</v>
      </c>
      <c r="D4">
        <v>381954.47680985811</v>
      </c>
      <c r="E4">
        <v>3869.5895449873051</v>
      </c>
      <c r="F4">
        <v>48</v>
      </c>
      <c r="G4">
        <v>79</v>
      </c>
      <c r="H4" s="3">
        <f t="shared" si="0"/>
        <v>0.92</v>
      </c>
    </row>
    <row r="5" spans="1:8" x14ac:dyDescent="0.25">
      <c r="A5" s="2">
        <v>45386</v>
      </c>
      <c r="B5">
        <v>52</v>
      </c>
      <c r="C5">
        <v>50</v>
      </c>
      <c r="D5">
        <v>491998.41453119548</v>
      </c>
      <c r="E5">
        <v>4276.5422406129319</v>
      </c>
      <c r="F5">
        <v>48</v>
      </c>
      <c r="G5">
        <v>56</v>
      </c>
      <c r="H5" s="3">
        <f t="shared" si="0"/>
        <v>1.04</v>
      </c>
    </row>
    <row r="6" spans="1:8" x14ac:dyDescent="0.25">
      <c r="A6" s="2">
        <v>45387</v>
      </c>
      <c r="B6">
        <v>42</v>
      </c>
      <c r="C6">
        <v>50</v>
      </c>
      <c r="D6">
        <v>434530.71724952862</v>
      </c>
      <c r="E6">
        <v>3702.1871722255928</v>
      </c>
      <c r="F6">
        <v>45</v>
      </c>
      <c r="G6">
        <v>58</v>
      </c>
      <c r="H6" s="3">
        <f t="shared" si="0"/>
        <v>0.84</v>
      </c>
    </row>
    <row r="7" spans="1:8" x14ac:dyDescent="0.25">
      <c r="A7" s="2">
        <v>45388</v>
      </c>
      <c r="B7">
        <v>41</v>
      </c>
      <c r="C7">
        <v>50</v>
      </c>
      <c r="D7">
        <v>341553.92773478088</v>
      </c>
      <c r="E7">
        <v>3565.3789576679842</v>
      </c>
      <c r="F7">
        <v>48</v>
      </c>
      <c r="G7">
        <v>49</v>
      </c>
      <c r="H7" s="3">
        <f t="shared" si="0"/>
        <v>0.82</v>
      </c>
    </row>
    <row r="8" spans="1:8" x14ac:dyDescent="0.25">
      <c r="A8" s="2">
        <v>45389</v>
      </c>
      <c r="B8">
        <v>51</v>
      </c>
      <c r="C8">
        <v>50</v>
      </c>
      <c r="D8">
        <v>424508.93925768201</v>
      </c>
      <c r="E8">
        <v>2927.2287402552088</v>
      </c>
      <c r="F8">
        <v>40</v>
      </c>
      <c r="G8">
        <v>55</v>
      </c>
      <c r="H8" s="3">
        <f t="shared" si="0"/>
        <v>1.02</v>
      </c>
    </row>
    <row r="9" spans="1:8" x14ac:dyDescent="0.25">
      <c r="A9" s="2">
        <v>45390</v>
      </c>
      <c r="B9">
        <v>46</v>
      </c>
      <c r="C9">
        <v>50</v>
      </c>
      <c r="D9">
        <v>383572.80752067512</v>
      </c>
      <c r="E9">
        <v>3417.1733910703442</v>
      </c>
      <c r="F9">
        <v>40</v>
      </c>
      <c r="G9">
        <v>76</v>
      </c>
      <c r="H9" s="3">
        <f t="shared" si="0"/>
        <v>0.92</v>
      </c>
    </row>
    <row r="10" spans="1:8" x14ac:dyDescent="0.25">
      <c r="A10" s="2">
        <v>45391</v>
      </c>
      <c r="B10">
        <v>52</v>
      </c>
      <c r="C10">
        <v>50</v>
      </c>
      <c r="D10">
        <v>397679.21407528158</v>
      </c>
      <c r="E10">
        <v>4349.7137472982085</v>
      </c>
      <c r="F10">
        <v>53</v>
      </c>
      <c r="G10">
        <v>72</v>
      </c>
      <c r="H10" s="3">
        <f t="shared" si="0"/>
        <v>1.04</v>
      </c>
    </row>
    <row r="11" spans="1:8" x14ac:dyDescent="0.25">
      <c r="A11" s="2">
        <v>45392</v>
      </c>
      <c r="B11">
        <v>46</v>
      </c>
      <c r="C11">
        <v>50</v>
      </c>
      <c r="D11">
        <v>340589.89915768302</v>
      </c>
      <c r="E11">
        <v>3459.4617942318778</v>
      </c>
      <c r="F11">
        <v>42</v>
      </c>
      <c r="G11">
        <v>66</v>
      </c>
      <c r="H11" s="3">
        <f t="shared" si="0"/>
        <v>0.92</v>
      </c>
    </row>
    <row r="12" spans="1:8" x14ac:dyDescent="0.25">
      <c r="A12" s="2">
        <v>45393</v>
      </c>
      <c r="B12">
        <v>48</v>
      </c>
      <c r="C12">
        <v>50</v>
      </c>
      <c r="D12">
        <v>422654.97582123609</v>
      </c>
      <c r="E12">
        <v>4178.1230218433984</v>
      </c>
      <c r="F12">
        <v>43</v>
      </c>
      <c r="G12">
        <v>70</v>
      </c>
      <c r="H12" s="3">
        <f t="shared" si="0"/>
        <v>0.96</v>
      </c>
    </row>
    <row r="13" spans="1:8" x14ac:dyDescent="0.25">
      <c r="A13" s="2">
        <v>45394</v>
      </c>
      <c r="B13">
        <v>52</v>
      </c>
      <c r="C13">
        <v>50</v>
      </c>
      <c r="D13">
        <v>412507.35535119142</v>
      </c>
      <c r="E13">
        <v>3931.2540852047609</v>
      </c>
      <c r="F13">
        <v>51</v>
      </c>
      <c r="G13">
        <v>47</v>
      </c>
      <c r="H13" s="3">
        <f t="shared" si="0"/>
        <v>1.04</v>
      </c>
    </row>
    <row r="14" spans="1:8" x14ac:dyDescent="0.25">
      <c r="A14" s="2">
        <v>45395</v>
      </c>
      <c r="B14">
        <v>47</v>
      </c>
      <c r="C14">
        <v>50</v>
      </c>
      <c r="D14">
        <v>377555.18245776149</v>
      </c>
      <c r="E14">
        <v>4399.1213029355613</v>
      </c>
      <c r="F14">
        <v>44</v>
      </c>
      <c r="G14">
        <v>75</v>
      </c>
      <c r="H14" s="3">
        <f t="shared" si="0"/>
        <v>0.94</v>
      </c>
    </row>
    <row r="15" spans="1:8" x14ac:dyDescent="0.25">
      <c r="A15" s="2">
        <v>45396</v>
      </c>
      <c r="B15">
        <v>41</v>
      </c>
      <c r="C15">
        <v>50</v>
      </c>
      <c r="D15">
        <v>390477.19770340592</v>
      </c>
      <c r="E15">
        <v>3863.416383323814</v>
      </c>
      <c r="F15">
        <v>43</v>
      </c>
      <c r="G15">
        <v>52</v>
      </c>
      <c r="H15" s="3">
        <f t="shared" si="0"/>
        <v>0.82</v>
      </c>
    </row>
    <row r="16" spans="1:8" x14ac:dyDescent="0.25">
      <c r="A16" s="2">
        <v>45397</v>
      </c>
      <c r="B16">
        <v>45</v>
      </c>
      <c r="C16">
        <v>50</v>
      </c>
      <c r="D16">
        <v>411159.76575752237</v>
      </c>
      <c r="E16">
        <v>3777.032502521562</v>
      </c>
      <c r="F16">
        <v>35</v>
      </c>
      <c r="G16">
        <v>58</v>
      </c>
      <c r="H16" s="3">
        <f t="shared" si="0"/>
        <v>0.9</v>
      </c>
    </row>
    <row r="17" spans="1:8" x14ac:dyDescent="0.25">
      <c r="A17" s="2">
        <v>45398</v>
      </c>
      <c r="B17">
        <v>39</v>
      </c>
      <c r="C17">
        <v>50</v>
      </c>
      <c r="D17">
        <v>380531.2324403915</v>
      </c>
      <c r="E17">
        <v>3548.040551270507</v>
      </c>
      <c r="F17">
        <v>39</v>
      </c>
      <c r="G17">
        <v>67</v>
      </c>
      <c r="H17" s="3">
        <f t="shared" si="0"/>
        <v>0.78</v>
      </c>
    </row>
    <row r="18" spans="1:8" x14ac:dyDescent="0.25">
      <c r="A18" s="2">
        <v>45399</v>
      </c>
      <c r="B18">
        <v>36</v>
      </c>
      <c r="C18">
        <v>50</v>
      </c>
      <c r="D18">
        <v>462993.74251106707</v>
      </c>
      <c r="E18">
        <v>4214.0776716894043</v>
      </c>
      <c r="F18">
        <v>40</v>
      </c>
      <c r="G18">
        <v>62</v>
      </c>
      <c r="H18" s="3">
        <f t="shared" si="0"/>
        <v>0.72</v>
      </c>
    </row>
    <row r="19" spans="1:8" x14ac:dyDescent="0.25">
      <c r="A19" s="2">
        <v>45400</v>
      </c>
      <c r="B19">
        <v>37</v>
      </c>
      <c r="C19">
        <v>50</v>
      </c>
      <c r="D19">
        <v>338955.47519713279</v>
      </c>
      <c r="E19">
        <v>3571.7788995992642</v>
      </c>
      <c r="F19">
        <v>51</v>
      </c>
      <c r="G19">
        <v>55</v>
      </c>
      <c r="H19" s="3">
        <f t="shared" si="0"/>
        <v>0.74</v>
      </c>
    </row>
    <row r="20" spans="1:8" x14ac:dyDescent="0.25">
      <c r="A20" s="2">
        <v>45401</v>
      </c>
      <c r="B20">
        <v>39</v>
      </c>
      <c r="C20">
        <v>50</v>
      </c>
      <c r="D20">
        <v>374932.04040478269</v>
      </c>
      <c r="E20">
        <v>4254.4519334258994</v>
      </c>
      <c r="F20">
        <v>45</v>
      </c>
      <c r="G20">
        <v>59</v>
      </c>
      <c r="H20" s="3">
        <f t="shared" si="0"/>
        <v>0.78</v>
      </c>
    </row>
    <row r="21" spans="1:8" x14ac:dyDescent="0.25">
      <c r="A21" s="2">
        <v>45402</v>
      </c>
      <c r="B21">
        <v>51</v>
      </c>
      <c r="C21">
        <v>50</v>
      </c>
      <c r="D21">
        <v>355752.04405196162</v>
      </c>
      <c r="E21">
        <v>2944.8230129221529</v>
      </c>
      <c r="F21">
        <v>46</v>
      </c>
      <c r="G21">
        <v>66</v>
      </c>
      <c r="H21" s="3">
        <f t="shared" si="0"/>
        <v>1.02</v>
      </c>
    </row>
    <row r="22" spans="1:8" x14ac:dyDescent="0.25">
      <c r="A22" s="2">
        <v>45403</v>
      </c>
      <c r="B22">
        <v>48</v>
      </c>
      <c r="C22">
        <v>50</v>
      </c>
      <c r="D22">
        <v>432326.62216962402</v>
      </c>
      <c r="E22">
        <v>4735.970696286282</v>
      </c>
      <c r="F22">
        <v>49</v>
      </c>
      <c r="G22">
        <v>62</v>
      </c>
      <c r="H22" s="3">
        <f t="shared" si="0"/>
        <v>0.96</v>
      </c>
    </row>
    <row r="23" spans="1:8" x14ac:dyDescent="0.25">
      <c r="A23" s="2">
        <v>45404</v>
      </c>
      <c r="B23">
        <v>40</v>
      </c>
      <c r="C23">
        <v>50</v>
      </c>
      <c r="D23">
        <v>451151.91868506791</v>
      </c>
      <c r="E23">
        <v>3487.8390125810029</v>
      </c>
      <c r="F23">
        <v>45</v>
      </c>
      <c r="G23">
        <v>61</v>
      </c>
      <c r="H23" s="3">
        <f t="shared" si="0"/>
        <v>0.8</v>
      </c>
    </row>
    <row r="24" spans="1:8" x14ac:dyDescent="0.25">
      <c r="A24" s="2">
        <v>45405</v>
      </c>
      <c r="B24">
        <v>40</v>
      </c>
      <c r="C24">
        <v>50</v>
      </c>
      <c r="D24">
        <v>451781.40056480502</v>
      </c>
      <c r="E24">
        <v>4655.7864382211374</v>
      </c>
      <c r="F24">
        <v>45</v>
      </c>
      <c r="G24">
        <v>69</v>
      </c>
      <c r="H24" s="3">
        <f t="shared" si="0"/>
        <v>0.8</v>
      </c>
    </row>
    <row r="25" spans="1:8" x14ac:dyDescent="0.25">
      <c r="A25" s="2">
        <v>45406</v>
      </c>
      <c r="B25">
        <v>47</v>
      </c>
      <c r="C25">
        <v>50</v>
      </c>
      <c r="D25">
        <v>449112.05612071691</v>
      </c>
      <c r="E25">
        <v>4779.3135613377453</v>
      </c>
      <c r="F25">
        <v>48</v>
      </c>
      <c r="G25">
        <v>47</v>
      </c>
      <c r="H25" s="3">
        <f t="shared" si="0"/>
        <v>0.94</v>
      </c>
    </row>
    <row r="26" spans="1:8" x14ac:dyDescent="0.25">
      <c r="A26" s="2">
        <v>45407</v>
      </c>
      <c r="B26">
        <v>48</v>
      </c>
      <c r="C26">
        <v>50</v>
      </c>
      <c r="D26">
        <v>520475.82615522167</v>
      </c>
      <c r="E26">
        <v>4031.2654187253952</v>
      </c>
      <c r="F26">
        <v>45</v>
      </c>
      <c r="G26">
        <v>68</v>
      </c>
      <c r="H26" s="3">
        <f t="shared" si="0"/>
        <v>0.96</v>
      </c>
    </row>
    <row r="27" spans="1:8" x14ac:dyDescent="0.25">
      <c r="A27" s="2">
        <v>45408</v>
      </c>
      <c r="B27">
        <v>53</v>
      </c>
      <c r="C27">
        <v>50</v>
      </c>
      <c r="D27">
        <v>376327.2307645625</v>
      </c>
      <c r="E27">
        <v>4236.3821347834601</v>
      </c>
      <c r="F27">
        <v>45</v>
      </c>
      <c r="G27">
        <v>44</v>
      </c>
      <c r="H27" s="3">
        <f t="shared" si="0"/>
        <v>1.06</v>
      </c>
    </row>
    <row r="28" spans="1:8" x14ac:dyDescent="0.25">
      <c r="A28" s="2">
        <v>45409</v>
      </c>
      <c r="B28">
        <v>46</v>
      </c>
      <c r="C28">
        <v>50</v>
      </c>
      <c r="D28">
        <v>345196.38543344382</v>
      </c>
      <c r="E28">
        <v>4491.213587271397</v>
      </c>
      <c r="F28">
        <v>37</v>
      </c>
      <c r="G28">
        <v>53</v>
      </c>
      <c r="H28" s="3">
        <f t="shared" si="0"/>
        <v>0.92</v>
      </c>
    </row>
    <row r="29" spans="1:8" x14ac:dyDescent="0.25">
      <c r="A29" s="2">
        <v>45410</v>
      </c>
      <c r="B29">
        <v>46</v>
      </c>
      <c r="C29">
        <v>50</v>
      </c>
      <c r="D29">
        <v>342163.38266736938</v>
      </c>
      <c r="E29">
        <v>4108.0084581418714</v>
      </c>
      <c r="F29">
        <v>44</v>
      </c>
      <c r="G29">
        <v>70</v>
      </c>
      <c r="H29" s="3">
        <f t="shared" si="0"/>
        <v>0.92</v>
      </c>
    </row>
    <row r="30" spans="1:8" x14ac:dyDescent="0.25">
      <c r="A30" s="2">
        <v>45411</v>
      </c>
      <c r="B30">
        <v>40</v>
      </c>
      <c r="C30">
        <v>50</v>
      </c>
      <c r="D30">
        <v>390030.72888981813</v>
      </c>
      <c r="E30">
        <v>3244.5488210419908</v>
      </c>
      <c r="F30">
        <v>48</v>
      </c>
      <c r="G30">
        <v>66</v>
      </c>
      <c r="H30" s="3">
        <f t="shared" si="0"/>
        <v>0.8</v>
      </c>
    </row>
    <row r="31" spans="1:8" x14ac:dyDescent="0.25">
      <c r="A31" s="2">
        <v>45412</v>
      </c>
      <c r="B31">
        <v>41</v>
      </c>
      <c r="C31">
        <v>50</v>
      </c>
      <c r="D31">
        <v>450437.145383442</v>
      </c>
      <c r="E31">
        <v>3473.3010346927522</v>
      </c>
      <c r="F31">
        <v>45</v>
      </c>
      <c r="G31">
        <v>57</v>
      </c>
      <c r="H31" s="3">
        <f t="shared" si="0"/>
        <v>0.82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34</v>
      </c>
    </row>
    <row r="2" spans="1:2" x14ac:dyDescent="0.25">
      <c r="A2" s="2">
        <v>45383</v>
      </c>
      <c r="B2">
        <v>87.7907781082383</v>
      </c>
    </row>
    <row r="3" spans="1:2" x14ac:dyDescent="0.25">
      <c r="A3" s="2">
        <v>45384</v>
      </c>
      <c r="B3">
        <v>79.027984005235311</v>
      </c>
    </row>
    <row r="4" spans="1:2" x14ac:dyDescent="0.25">
      <c r="A4" s="2">
        <v>45385</v>
      </c>
      <c r="B4">
        <v>83.799634031792763</v>
      </c>
    </row>
    <row r="5" spans="1:2" x14ac:dyDescent="0.25">
      <c r="A5" s="2">
        <v>45386</v>
      </c>
      <c r="B5">
        <v>83.826428738269669</v>
      </c>
    </row>
    <row r="6" spans="1:2" x14ac:dyDescent="0.25">
      <c r="A6" s="2">
        <v>45387</v>
      </c>
      <c r="B6">
        <v>84.720809680470694</v>
      </c>
    </row>
    <row r="7" spans="1:2" x14ac:dyDescent="0.25">
      <c r="A7" s="2">
        <v>45388</v>
      </c>
      <c r="B7">
        <v>77.196289547739468</v>
      </c>
    </row>
    <row r="8" spans="1:2" x14ac:dyDescent="0.25">
      <c r="A8" s="2">
        <v>45389</v>
      </c>
      <c r="B8">
        <v>84.548834740104851</v>
      </c>
    </row>
    <row r="9" spans="1:2" x14ac:dyDescent="0.25">
      <c r="A9" s="2">
        <v>45390</v>
      </c>
      <c r="B9">
        <v>86.829965624971805</v>
      </c>
    </row>
    <row r="10" spans="1:2" x14ac:dyDescent="0.25">
      <c r="A10" s="2">
        <v>45391</v>
      </c>
      <c r="B10">
        <v>79.62455924500189</v>
      </c>
    </row>
    <row r="11" spans="1:2" x14ac:dyDescent="0.25">
      <c r="A11" s="2">
        <v>45392</v>
      </c>
      <c r="B11">
        <v>93.721284530620963</v>
      </c>
    </row>
    <row r="12" spans="1:2" x14ac:dyDescent="0.25">
      <c r="A12" s="2">
        <v>45393</v>
      </c>
      <c r="B12">
        <v>88.866204172025363</v>
      </c>
    </row>
    <row r="13" spans="1:2" x14ac:dyDescent="0.25">
      <c r="A13" s="2">
        <v>45394</v>
      </c>
      <c r="B13">
        <v>87.364491640482058</v>
      </c>
    </row>
    <row r="14" spans="1:2" x14ac:dyDescent="0.25">
      <c r="A14" s="2">
        <v>45395</v>
      </c>
      <c r="B14">
        <v>84.841187081176386</v>
      </c>
    </row>
    <row r="15" spans="1:2" x14ac:dyDescent="0.25">
      <c r="A15" s="2">
        <v>45396</v>
      </c>
      <c r="B15">
        <v>85.961034190387764</v>
      </c>
    </row>
    <row r="16" spans="1:2" x14ac:dyDescent="0.25">
      <c r="A16" s="2">
        <v>45397</v>
      </c>
      <c r="B16">
        <v>82.137913465961958</v>
      </c>
    </row>
    <row r="17" spans="1:2" x14ac:dyDescent="0.25">
      <c r="A17" s="2">
        <v>45398</v>
      </c>
      <c r="B17">
        <v>84.26146754880503</v>
      </c>
    </row>
    <row r="18" spans="1:2" x14ac:dyDescent="0.25">
      <c r="A18" s="2">
        <v>45399</v>
      </c>
      <c r="B18">
        <v>89.205700366335194</v>
      </c>
    </row>
    <row r="19" spans="1:2" x14ac:dyDescent="0.25">
      <c r="A19" s="2">
        <v>45400</v>
      </c>
      <c r="B19">
        <v>81.84013493774026</v>
      </c>
    </row>
    <row r="20" spans="1:2" x14ac:dyDescent="0.25">
      <c r="A20" s="2">
        <v>45401</v>
      </c>
      <c r="B20">
        <v>88.449420360921835</v>
      </c>
    </row>
    <row r="21" spans="1:2" x14ac:dyDescent="0.25">
      <c r="A21" s="2">
        <v>45402</v>
      </c>
      <c r="B21">
        <v>81.654957786169675</v>
      </c>
    </row>
    <row r="22" spans="1:2" x14ac:dyDescent="0.25">
      <c r="A22" s="2">
        <v>45403</v>
      </c>
      <c r="B22">
        <v>88.01325497653977</v>
      </c>
    </row>
    <row r="23" spans="1:2" x14ac:dyDescent="0.25">
      <c r="A23" s="2">
        <v>45404</v>
      </c>
      <c r="B23">
        <v>93.399301315955185</v>
      </c>
    </row>
    <row r="24" spans="1:2" x14ac:dyDescent="0.25">
      <c r="A24" s="2">
        <v>45405</v>
      </c>
      <c r="B24">
        <v>87.429710760852899</v>
      </c>
    </row>
    <row r="25" spans="1:2" x14ac:dyDescent="0.25">
      <c r="A25" s="2">
        <v>45406</v>
      </c>
      <c r="B25">
        <v>81.160692670096438</v>
      </c>
    </row>
    <row r="26" spans="1:2" x14ac:dyDescent="0.25">
      <c r="A26" s="2">
        <v>45407</v>
      </c>
      <c r="B26">
        <v>95.29651270308095</v>
      </c>
    </row>
    <row r="27" spans="1:2" x14ac:dyDescent="0.25">
      <c r="A27" s="2">
        <v>45408</v>
      </c>
      <c r="B27">
        <v>81.865728851382997</v>
      </c>
    </row>
    <row r="28" spans="1:2" x14ac:dyDescent="0.25">
      <c r="A28" s="2">
        <v>45409</v>
      </c>
      <c r="B28">
        <v>91.071900684124884</v>
      </c>
    </row>
    <row r="29" spans="1:2" x14ac:dyDescent="0.25">
      <c r="A29" s="2">
        <v>45410</v>
      </c>
      <c r="B29">
        <v>76.322160362674126</v>
      </c>
    </row>
    <row r="30" spans="1:2" x14ac:dyDescent="0.25">
      <c r="A30" s="2">
        <v>45411</v>
      </c>
      <c r="B30">
        <v>86.092226684755104</v>
      </c>
    </row>
    <row r="31" spans="1:2" x14ac:dyDescent="0.25">
      <c r="A31" s="2">
        <v>45412</v>
      </c>
      <c r="B31">
        <v>79.035440436842649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s="2">
        <v>45383</v>
      </c>
    </row>
    <row r="3" spans="1:1" x14ac:dyDescent="0.25">
      <c r="A3" s="2">
        <v>45384</v>
      </c>
    </row>
    <row r="4" spans="1:1" x14ac:dyDescent="0.25">
      <c r="A4" s="2">
        <v>45385</v>
      </c>
    </row>
    <row r="5" spans="1:1" x14ac:dyDescent="0.25">
      <c r="A5" s="2">
        <v>45386</v>
      </c>
    </row>
    <row r="6" spans="1:1" x14ac:dyDescent="0.25">
      <c r="A6" s="2">
        <v>45387</v>
      </c>
    </row>
    <row r="7" spans="1:1" x14ac:dyDescent="0.25">
      <c r="A7" s="2">
        <v>45388</v>
      </c>
    </row>
    <row r="8" spans="1:1" x14ac:dyDescent="0.25">
      <c r="A8" s="2">
        <v>45389</v>
      </c>
    </row>
    <row r="9" spans="1:1" x14ac:dyDescent="0.25">
      <c r="A9" s="2">
        <v>45390</v>
      </c>
    </row>
    <row r="10" spans="1:1" x14ac:dyDescent="0.25">
      <c r="A10" s="2">
        <v>45391</v>
      </c>
    </row>
    <row r="11" spans="1:1" x14ac:dyDescent="0.25">
      <c r="A11" s="2">
        <v>45392</v>
      </c>
    </row>
    <row r="12" spans="1:1" x14ac:dyDescent="0.25">
      <c r="A12" s="2">
        <v>45393</v>
      </c>
    </row>
    <row r="13" spans="1:1" x14ac:dyDescent="0.25">
      <c r="A13" s="2">
        <v>45394</v>
      </c>
    </row>
    <row r="14" spans="1:1" x14ac:dyDescent="0.25">
      <c r="A14" s="2">
        <v>45395</v>
      </c>
    </row>
    <row r="15" spans="1:1" x14ac:dyDescent="0.25">
      <c r="A15" s="2">
        <v>45396</v>
      </c>
    </row>
    <row r="16" spans="1:1" x14ac:dyDescent="0.25">
      <c r="A16" s="2">
        <v>45397</v>
      </c>
    </row>
    <row r="17" spans="1:1" x14ac:dyDescent="0.25">
      <c r="A17" s="2">
        <v>45398</v>
      </c>
    </row>
    <row r="18" spans="1:1" x14ac:dyDescent="0.25">
      <c r="A18" s="2">
        <v>45399</v>
      </c>
    </row>
    <row r="19" spans="1:1" x14ac:dyDescent="0.25">
      <c r="A19" s="2">
        <v>45400</v>
      </c>
    </row>
    <row r="20" spans="1:1" x14ac:dyDescent="0.25">
      <c r="A20" s="2">
        <v>45401</v>
      </c>
    </row>
    <row r="21" spans="1:1" x14ac:dyDescent="0.25">
      <c r="A21" s="2">
        <v>45402</v>
      </c>
    </row>
    <row r="22" spans="1:1" x14ac:dyDescent="0.25">
      <c r="A22" s="2">
        <v>45403</v>
      </c>
    </row>
    <row r="23" spans="1:1" x14ac:dyDescent="0.25">
      <c r="A23" s="2">
        <v>45404</v>
      </c>
    </row>
    <row r="24" spans="1:1" x14ac:dyDescent="0.25">
      <c r="A24" s="2">
        <v>45405</v>
      </c>
    </row>
    <row r="25" spans="1:1" x14ac:dyDescent="0.25">
      <c r="A25" s="2">
        <v>45406</v>
      </c>
    </row>
    <row r="26" spans="1:1" x14ac:dyDescent="0.25">
      <c r="A26" s="2">
        <v>45407</v>
      </c>
    </row>
    <row r="27" spans="1:1" x14ac:dyDescent="0.25">
      <c r="A27" s="2">
        <v>45408</v>
      </c>
    </row>
    <row r="28" spans="1:1" x14ac:dyDescent="0.25">
      <c r="A28" s="2">
        <v>45409</v>
      </c>
    </row>
    <row r="29" spans="1:1" x14ac:dyDescent="0.25">
      <c r="A29" s="2">
        <v>45410</v>
      </c>
    </row>
    <row r="30" spans="1:1" x14ac:dyDescent="0.25">
      <c r="A30" s="2">
        <v>45411</v>
      </c>
    </row>
    <row r="31" spans="1:1" x14ac:dyDescent="0.25">
      <c r="A31" s="2">
        <v>45412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18.140625" bestFit="1" customWidth="1"/>
    <col min="2" max="2" width="14.140625" bestFit="1" customWidth="1"/>
    <col min="3" max="3" width="15.28515625" bestFit="1" customWidth="1"/>
    <col min="4" max="4" width="11.28515625" bestFit="1" customWidth="1"/>
    <col min="5" max="5" width="13.85546875" bestFit="1" customWidth="1"/>
    <col min="6" max="6" width="16.140625" bestFit="1" customWidth="1"/>
  </cols>
  <sheetData>
    <row r="1" spans="1:6" x14ac:dyDescent="0.25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25">
      <c r="A2" s="2">
        <v>45383</v>
      </c>
      <c r="B2" t="s">
        <v>40</v>
      </c>
      <c r="C2" t="s">
        <v>60</v>
      </c>
      <c r="D2" t="s">
        <v>80</v>
      </c>
      <c r="E2" t="s">
        <v>100</v>
      </c>
      <c r="F2" t="s">
        <v>105</v>
      </c>
    </row>
    <row r="3" spans="1:6" x14ac:dyDescent="0.25">
      <c r="A3" s="2">
        <v>45384</v>
      </c>
      <c r="B3" t="s">
        <v>41</v>
      </c>
      <c r="C3" t="s">
        <v>61</v>
      </c>
      <c r="D3" t="s">
        <v>81</v>
      </c>
      <c r="E3" t="s">
        <v>101</v>
      </c>
      <c r="F3" t="s">
        <v>106</v>
      </c>
    </row>
    <row r="4" spans="1:6" x14ac:dyDescent="0.25">
      <c r="A4" s="2">
        <v>45385</v>
      </c>
      <c r="B4" t="s">
        <v>42</v>
      </c>
      <c r="C4" t="s">
        <v>62</v>
      </c>
      <c r="D4" t="s">
        <v>82</v>
      </c>
      <c r="E4" t="s">
        <v>102</v>
      </c>
      <c r="F4" t="s">
        <v>107</v>
      </c>
    </row>
    <row r="5" spans="1:6" x14ac:dyDescent="0.25">
      <c r="A5" s="2">
        <v>45386</v>
      </c>
      <c r="B5" t="s">
        <v>43</v>
      </c>
      <c r="C5" t="s">
        <v>63</v>
      </c>
      <c r="D5" t="s">
        <v>83</v>
      </c>
      <c r="E5" t="s">
        <v>103</v>
      </c>
      <c r="F5" t="s">
        <v>108</v>
      </c>
    </row>
    <row r="6" spans="1:6" x14ac:dyDescent="0.25">
      <c r="A6" s="2">
        <v>45387</v>
      </c>
      <c r="B6" t="s">
        <v>44</v>
      </c>
      <c r="C6" t="s">
        <v>64</v>
      </c>
      <c r="D6" t="s">
        <v>84</v>
      </c>
      <c r="E6" t="s">
        <v>104</v>
      </c>
      <c r="F6" t="s">
        <v>109</v>
      </c>
    </row>
    <row r="7" spans="1:6" x14ac:dyDescent="0.25">
      <c r="A7" s="2">
        <v>45388</v>
      </c>
      <c r="B7" t="s">
        <v>45</v>
      </c>
      <c r="C7" t="s">
        <v>65</v>
      </c>
      <c r="D7" t="s">
        <v>85</v>
      </c>
      <c r="E7" t="s">
        <v>100</v>
      </c>
      <c r="F7" t="s">
        <v>110</v>
      </c>
    </row>
    <row r="8" spans="1:6" x14ac:dyDescent="0.25">
      <c r="A8" s="2">
        <v>45389</v>
      </c>
      <c r="B8" t="s">
        <v>46</v>
      </c>
      <c r="C8" t="s">
        <v>66</v>
      </c>
      <c r="D8" t="s">
        <v>86</v>
      </c>
      <c r="E8" t="s">
        <v>101</v>
      </c>
      <c r="F8" t="s">
        <v>111</v>
      </c>
    </row>
    <row r="9" spans="1:6" x14ac:dyDescent="0.25">
      <c r="A9" s="2">
        <v>45390</v>
      </c>
      <c r="B9" t="s">
        <v>47</v>
      </c>
      <c r="C9" t="s">
        <v>67</v>
      </c>
      <c r="D9" t="s">
        <v>87</v>
      </c>
      <c r="E9" t="s">
        <v>102</v>
      </c>
      <c r="F9" t="s">
        <v>112</v>
      </c>
    </row>
    <row r="10" spans="1:6" x14ac:dyDescent="0.25">
      <c r="A10" s="2">
        <v>45391</v>
      </c>
      <c r="B10" t="s">
        <v>48</v>
      </c>
      <c r="C10" t="s">
        <v>68</v>
      </c>
      <c r="D10" t="s">
        <v>88</v>
      </c>
      <c r="E10" t="s">
        <v>103</v>
      </c>
      <c r="F10" t="s">
        <v>113</v>
      </c>
    </row>
    <row r="11" spans="1:6" x14ac:dyDescent="0.25">
      <c r="A11" s="2">
        <v>45392</v>
      </c>
      <c r="B11" t="s">
        <v>49</v>
      </c>
      <c r="C11" t="s">
        <v>69</v>
      </c>
      <c r="D11" t="s">
        <v>89</v>
      </c>
      <c r="E11" t="s">
        <v>104</v>
      </c>
      <c r="F11" t="s">
        <v>114</v>
      </c>
    </row>
    <row r="12" spans="1:6" x14ac:dyDescent="0.25">
      <c r="A12" s="2">
        <v>45393</v>
      </c>
      <c r="B12" t="s">
        <v>50</v>
      </c>
      <c r="C12" t="s">
        <v>70</v>
      </c>
      <c r="D12" t="s">
        <v>90</v>
      </c>
      <c r="E12" t="s">
        <v>100</v>
      </c>
      <c r="F12" t="s">
        <v>115</v>
      </c>
    </row>
    <row r="13" spans="1:6" x14ac:dyDescent="0.25">
      <c r="A13" s="2">
        <v>45394</v>
      </c>
      <c r="B13" t="s">
        <v>51</v>
      </c>
      <c r="C13" t="s">
        <v>71</v>
      </c>
      <c r="D13" t="s">
        <v>91</v>
      </c>
      <c r="E13" t="s">
        <v>101</v>
      </c>
      <c r="F13" t="s">
        <v>116</v>
      </c>
    </row>
    <row r="14" spans="1:6" x14ac:dyDescent="0.25">
      <c r="A14" s="2">
        <v>45395</v>
      </c>
      <c r="B14" t="s">
        <v>52</v>
      </c>
      <c r="C14" t="s">
        <v>72</v>
      </c>
      <c r="D14" t="s">
        <v>92</v>
      </c>
      <c r="E14" t="s">
        <v>102</v>
      </c>
      <c r="F14" t="s">
        <v>117</v>
      </c>
    </row>
    <row r="15" spans="1:6" x14ac:dyDescent="0.25">
      <c r="A15" s="2">
        <v>45396</v>
      </c>
      <c r="B15" t="s">
        <v>53</v>
      </c>
      <c r="C15" t="s">
        <v>73</v>
      </c>
      <c r="D15" t="s">
        <v>93</v>
      </c>
      <c r="E15" t="s">
        <v>103</v>
      </c>
      <c r="F15" t="s">
        <v>118</v>
      </c>
    </row>
    <row r="16" spans="1:6" x14ac:dyDescent="0.25">
      <c r="A16" s="2">
        <v>45397</v>
      </c>
      <c r="B16" t="s">
        <v>54</v>
      </c>
      <c r="C16" t="s">
        <v>74</v>
      </c>
      <c r="D16" t="s">
        <v>94</v>
      </c>
      <c r="E16" t="s">
        <v>104</v>
      </c>
      <c r="F16" t="s">
        <v>119</v>
      </c>
    </row>
    <row r="17" spans="1:6" x14ac:dyDescent="0.25">
      <c r="A17" s="2">
        <v>45398</v>
      </c>
      <c r="B17" t="s">
        <v>55</v>
      </c>
      <c r="C17" t="s">
        <v>75</v>
      </c>
      <c r="D17" t="s">
        <v>95</v>
      </c>
      <c r="E17" t="s">
        <v>100</v>
      </c>
      <c r="F17" t="s">
        <v>120</v>
      </c>
    </row>
    <row r="18" spans="1:6" x14ac:dyDescent="0.25">
      <c r="A18" s="2">
        <v>45399</v>
      </c>
      <c r="B18" t="s">
        <v>56</v>
      </c>
      <c r="C18" t="s">
        <v>76</v>
      </c>
      <c r="D18" t="s">
        <v>96</v>
      </c>
      <c r="E18" t="s">
        <v>101</v>
      </c>
      <c r="F18" t="s">
        <v>121</v>
      </c>
    </row>
    <row r="19" spans="1:6" x14ac:dyDescent="0.25">
      <c r="A19" s="2">
        <v>45400</v>
      </c>
      <c r="B19" t="s">
        <v>57</v>
      </c>
      <c r="C19" t="s">
        <v>77</v>
      </c>
      <c r="D19" t="s">
        <v>97</v>
      </c>
      <c r="E19" t="s">
        <v>102</v>
      </c>
      <c r="F19" t="s">
        <v>122</v>
      </c>
    </row>
    <row r="20" spans="1:6" x14ac:dyDescent="0.25">
      <c r="A20" s="2">
        <v>45401</v>
      </c>
      <c r="B20" t="s">
        <v>58</v>
      </c>
      <c r="C20" t="s">
        <v>78</v>
      </c>
      <c r="D20" t="s">
        <v>98</v>
      </c>
      <c r="E20" t="s">
        <v>103</v>
      </c>
      <c r="F20" t="s">
        <v>123</v>
      </c>
    </row>
    <row r="21" spans="1:6" x14ac:dyDescent="0.25">
      <c r="A21" s="2">
        <v>45402</v>
      </c>
      <c r="B21" t="s">
        <v>59</v>
      </c>
      <c r="C21" t="s">
        <v>79</v>
      </c>
      <c r="D21" t="s">
        <v>99</v>
      </c>
      <c r="E21" t="s">
        <v>104</v>
      </c>
      <c r="F2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Financier</vt:lpstr>
      <vt:lpstr>Operationnel</vt:lpstr>
      <vt:lpstr>Social</vt:lpstr>
      <vt:lpstr>Fintech</vt:lpstr>
      <vt:lpstr>Discipline</vt:lpstr>
      <vt:lpstr>KPI Hebdo</vt:lpstr>
      <vt:lpstr>Bénéficiaires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brown kj</cp:lastModifiedBy>
  <dcterms:created xsi:type="dcterms:W3CDTF">2026-05-18T10:16:07Z</dcterms:created>
  <dcterms:modified xsi:type="dcterms:W3CDTF">2026-05-18T10:26:37Z</dcterms:modified>
</cp:coreProperties>
</file>