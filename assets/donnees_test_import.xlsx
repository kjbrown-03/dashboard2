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cier" sheetId="1" r:id="rId1"/>
    <sheet name="Operationnel" sheetId="2" r:id="rId2"/>
    <sheet name="Social" sheetId="3" r:id="rId3"/>
    <sheet name="Fintech" sheetId="4" r:id="rId4"/>
    <sheet name="Discipline" sheetId="5" r:id="rId5"/>
    <sheet name="KPI Hebdo" sheetId="6" r:id="rId6"/>
    <sheet name="Rapport Motos" sheetId="7" r:id="rId7"/>
    <sheet name="Bénéficiaires" sheetId="8" r:id="rId8"/>
  </sheets>
  <calcPr calcId="124519" fullCalcOnLoad="1"/>
</workbook>
</file>

<file path=xl/sharedStrings.xml><?xml version="1.0" encoding="utf-8"?>
<sst xmlns="http://schemas.openxmlformats.org/spreadsheetml/2006/main" count="781" uniqueCount="151">
  <si>
    <t>FINANCIER — Données de remboursement</t>
  </si>
  <si>
    <t>🔵 Colonnes BLEUES = données à saisir    🟢 Colonnes VERTES = calculées automatiquement (ne pas modifier)</t>
  </si>
  <si>
    <t>date</t>
  </si>
  <si>
    <t>Montant total attendu (FCFA)</t>
  </si>
  <si>
    <t>Total collecté (FCFA)</t>
  </si>
  <si>
    <t>Nombre de bénéficiaires</t>
  </si>
  <si>
    <t>Taux de versement
(reçu / attendu)
[AUTO]</t>
  </si>
  <si>
    <t>Montant moyen / bénéf.
(FCFA)
[AUTO]</t>
  </si>
  <si>
    <t>OPÉRATIONNEL — Activité des motos</t>
  </si>
  <si>
    <t>Motos actives (nb)</t>
  </si>
  <si>
    <t>Total motos (nb)</t>
  </si>
  <si>
    <t>Motos en panne (nb)</t>
  </si>
  <si>
    <t>Motos actives
(nombre)
[AUTO]</t>
  </si>
  <si>
    <t>Taux de motos en panne
(panne / total)
[AUTO]</t>
  </si>
  <si>
    <t>SOCIAL — Impact social du programme</t>
  </si>
  <si>
    <t>Bénéficiaires actifs (nb)</t>
  </si>
  <si>
    <t>Bénéficiaires initial (nb)</t>
  </si>
  <si>
    <t>Revenus après projet (FCFA)</t>
  </si>
  <si>
    <t>Nombre bénéficiaires (nb)</t>
  </si>
  <si>
    <t>Taux de maintien
(actifs / initial)
[AUTO]</t>
  </si>
  <si>
    <t>Revenu moyen réel
(rev. après / bénéf.)
[AUTO]</t>
  </si>
  <si>
    <t>FINTECH — Yunus Pay &amp; transactions digitales</t>
  </si>
  <si>
    <t>Nombre de transactions (nb)</t>
  </si>
  <si>
    <t>Utilisateurs actifs (nb)</t>
  </si>
  <si>
    <t>DISCIPLINE — Score de discipline des bénéficiaires</t>
  </si>
  <si>
    <t>Paiements à temps (nb)</t>
  </si>
  <si>
    <t>Paiements attendus (nb)</t>
  </si>
  <si>
    <t>Jours actifs (nb)</t>
  </si>
  <si>
    <t>Jours totaux (nb)</t>
  </si>
  <si>
    <t>Score discipline moyen
(40% pmt + 30% act. + 20% entr.)
[AUTO]</t>
  </si>
  <si>
    <t>KPI HEBDO — Indicateurs hebdomadaires essentiels</t>
  </si>
  <si>
    <t>Semaine (lundi)</t>
  </si>
  <si>
    <t>Total collecté semaine (FCFA)</t>
  </si>
  <si>
    <t>Montant attendu semaine (FCFA)</t>
  </si>
  <si>
    <t>Versement hebdomadaire
(reçu / attendu)
[AUTO]</t>
  </si>
  <si>
    <t>RAPPORT MOTOS - Versements par moto</t>
  </si>
  <si>
    <t>Une ligne par moto et par date. Exemple moto_id: MOTO-1002.</t>
  </si>
  <si>
    <t>moto_id</t>
  </si>
  <si>
    <t>versement_attendu</t>
  </si>
  <si>
    <t>versement_recu</t>
  </si>
  <si>
    <t>MOTO-1001</t>
  </si>
  <si>
    <t>MOTO-1002</t>
  </si>
  <si>
    <t>MOTO-1003</t>
  </si>
  <si>
    <t>MOTO-1004</t>
  </si>
  <si>
    <t>MOTO-1005</t>
  </si>
  <si>
    <t>MOTO-1006</t>
  </si>
  <si>
    <t>MOTO-1007</t>
  </si>
  <si>
    <t>MOTO-1008</t>
  </si>
  <si>
    <t>MOTO-1009</t>
  </si>
  <si>
    <t>MOTO-1010</t>
  </si>
  <si>
    <t>MOTO-1011</t>
  </si>
  <si>
    <t>MOTO-1012</t>
  </si>
  <si>
    <t>MOTO-1013</t>
  </si>
  <si>
    <t>MOTO-1014</t>
  </si>
  <si>
    <t>MOTO-1015</t>
  </si>
  <si>
    <t>MOTO-1016</t>
  </si>
  <si>
    <t>MOTO-1017</t>
  </si>
  <si>
    <t>MOTO-1018</t>
  </si>
  <si>
    <t>MOTO-1019</t>
  </si>
  <si>
    <t>MOTO-1020</t>
  </si>
  <si>
    <t>BÉNÉFICIAIRES — Répertoire des bénéficiaires</t>
  </si>
  <si>
    <t>Nom</t>
  </si>
  <si>
    <t>Téléphone</t>
  </si>
  <si>
    <t>Moto</t>
  </si>
  <si>
    <t>Zone/Quartier</t>
  </si>
  <si>
    <t>Date_Integration</t>
  </si>
  <si>
    <t>2024-04-01 00:00:00</t>
  </si>
  <si>
    <t>Bénéficiaire 1</t>
  </si>
  <si>
    <t>+237 670 110 220</t>
  </si>
  <si>
    <t>Bonaberi</t>
  </si>
  <si>
    <t>2023-01-01</t>
  </si>
  <si>
    <t>2024-04-02 00:00:00</t>
  </si>
  <si>
    <t>Bénéficiaire 2</t>
  </si>
  <si>
    <t>+237 670 110 221</t>
  </si>
  <si>
    <t>Akwa</t>
  </si>
  <si>
    <t>2023-01-08</t>
  </si>
  <si>
    <t>2024-04-03 00:00:00</t>
  </si>
  <si>
    <t>Bénéficiaire 3</t>
  </si>
  <si>
    <t>+237 670 110 222</t>
  </si>
  <si>
    <t>Deido</t>
  </si>
  <si>
    <t>2023-01-15</t>
  </si>
  <si>
    <t>2024-04-04 00:00:00</t>
  </si>
  <si>
    <t>Bénéficiaire 4</t>
  </si>
  <si>
    <t>+237 670 110 223</t>
  </si>
  <si>
    <t>Makepe</t>
  </si>
  <si>
    <t>2023-01-22</t>
  </si>
  <si>
    <t>2024-04-05 00:00:00</t>
  </si>
  <si>
    <t>Bénéficiaire 5</t>
  </si>
  <si>
    <t>+237 670 110 224</t>
  </si>
  <si>
    <t>Bonamoussadi</t>
  </si>
  <si>
    <t>2023-01-29</t>
  </si>
  <si>
    <t>2024-04-06 00:00:00</t>
  </si>
  <si>
    <t>Bénéficiaire 6</t>
  </si>
  <si>
    <t>+237 670 110 225</t>
  </si>
  <si>
    <t>2023-02-05</t>
  </si>
  <si>
    <t>2024-04-07 00:00:00</t>
  </si>
  <si>
    <t>Bénéficiaire 7</t>
  </si>
  <si>
    <t>+237 670 110 226</t>
  </si>
  <si>
    <t>2023-02-12</t>
  </si>
  <si>
    <t>2024-04-08 00:00:00</t>
  </si>
  <si>
    <t>Bénéficiaire 8</t>
  </si>
  <si>
    <t>+237 670 110 227</t>
  </si>
  <si>
    <t>2023-02-19</t>
  </si>
  <si>
    <t>2024-04-09 00:00:00</t>
  </si>
  <si>
    <t>Bénéficiaire 9</t>
  </si>
  <si>
    <t>+237 670 110 228</t>
  </si>
  <si>
    <t>2023-02-26</t>
  </si>
  <si>
    <t>2024-04-10 00:00:00</t>
  </si>
  <si>
    <t>Bénéficiaire 10</t>
  </si>
  <si>
    <t>+237 670 110 229</t>
  </si>
  <si>
    <t>2023-03-05</t>
  </si>
  <si>
    <t>2024-04-11 00:00:00</t>
  </si>
  <si>
    <t>Bénéficiaire 11</t>
  </si>
  <si>
    <t>+237 670 110 230</t>
  </si>
  <si>
    <t>2023-03-12</t>
  </si>
  <si>
    <t>2024-04-12 00:00:00</t>
  </si>
  <si>
    <t>Bénéficiaire 12</t>
  </si>
  <si>
    <t>+237 670 110 231</t>
  </si>
  <si>
    <t>2023-03-19</t>
  </si>
  <si>
    <t>2024-04-13 00:00:00</t>
  </si>
  <si>
    <t>Bénéficiaire 13</t>
  </si>
  <si>
    <t>+237 670 110 232</t>
  </si>
  <si>
    <t>2023-03-26</t>
  </si>
  <si>
    <t>2024-04-14 00:00:00</t>
  </si>
  <si>
    <t>Bénéficiaire 14</t>
  </si>
  <si>
    <t>+237 670 110 233</t>
  </si>
  <si>
    <t>2023-04-02</t>
  </si>
  <si>
    <t>2024-04-15 00:00:00</t>
  </si>
  <si>
    <t>Bénéficiaire 15</t>
  </si>
  <si>
    <t>+237 670 110 234</t>
  </si>
  <si>
    <t>2023-04-09</t>
  </si>
  <si>
    <t>2024-04-16 00:00:00</t>
  </si>
  <si>
    <t>Bénéficiaire 16</t>
  </si>
  <si>
    <t>+237 670 110 235</t>
  </si>
  <si>
    <t>2023-04-16</t>
  </si>
  <si>
    <t>2024-04-17 00:00:00</t>
  </si>
  <si>
    <t>Bénéficiaire 17</t>
  </si>
  <si>
    <t>+237 670 110 236</t>
  </si>
  <si>
    <t>2023-04-23</t>
  </si>
  <si>
    <t>2024-04-18 00:00:00</t>
  </si>
  <si>
    <t>Bénéficiaire 18</t>
  </si>
  <si>
    <t>+237 670 110 237</t>
  </si>
  <si>
    <t>2023-04-30</t>
  </si>
  <si>
    <t>2024-04-19 00:00:00</t>
  </si>
  <si>
    <t>Bénéficiaire 19</t>
  </si>
  <si>
    <t>+237 670 110 238</t>
  </si>
  <si>
    <t>2023-05-07</t>
  </si>
  <si>
    <t>2024-04-20 00:00:00</t>
  </si>
  <si>
    <t>Bénéficiaire 20</t>
  </si>
  <si>
    <t>+237 670 110 239</t>
  </si>
  <si>
    <t>2023-05-14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</si>
</sst>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0.00%"/>
  </numFmts>
  <fonts count="6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7663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F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164" fontId="0" fillId="6" borderId="1" xfId="0" applyNumberFormat="1" applyFill="1" applyBorder="1"/>
    <xf numFmtId="165" fontId="0" fillId="6" borderId="1" xfId="0" applyNumberFormat="1" applyFill="1" applyBorder="1"/>
    <xf numFmtId="166" fontId="5" fillId="7" borderId="1" xfId="0" applyNumberFormat="1" applyFont="1" applyFill="1" applyBorder="1"/>
    <xf numFmtId="165" fontId="5" fillId="7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3"/>
  <sheetViews>
    <sheetView tabSelected="1" workbookViewId="0"/>
  </sheetViews>
  <sheetFormatPr defaultRowHeight="15"/>
  <cols>
    <col min="1" max="1" width="14.7109375" customWidth="1"/>
    <col min="2" max="3" width="22.7109375" customWidth="1"/>
    <col min="4" max="4" width="20.7109375" customWidth="1"/>
    <col min="5" max="6" width="22.7109375" customWidth="1"/>
  </cols>
  <sheetData>
    <row r="1" spans="1:6" ht="22" customHeight="1">
      <c r="A1" s="1" t="s">
        <v>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2</v>
      </c>
      <c r="B3" s="3" t="s">
        <v>3</v>
      </c>
      <c r="C3" s="3" t="s">
        <v>4</v>
      </c>
      <c r="D3" s="3" t="s">
        <v>5</v>
      </c>
      <c r="E3" s="4" t="s">
        <v>6</v>
      </c>
      <c r="F3" s="4" t="s">
        <v>7</v>
      </c>
    </row>
    <row r="4" spans="1:6">
      <c r="A4" s="5">
        <v>45383</v>
      </c>
      <c r="B4" s="6">
        <v>490731.4257728807</v>
      </c>
      <c r="C4" s="6">
        <v>562887.606199753</v>
      </c>
      <c r="D4" s="6">
        <v>50</v>
      </c>
      <c r="E4" s="7">
        <f>IF(B4=0,0,C4/B4)</f>
        <v>0</v>
      </c>
      <c r="F4" s="8">
        <f>IF(D4=0,0,C4/D4)</f>
        <v>0</v>
      </c>
    </row>
    <row r="5" spans="1:6">
      <c r="A5" s="5">
        <v>45384</v>
      </c>
      <c r="B5" s="6">
        <v>454860.2751219833</v>
      </c>
      <c r="C5" s="6">
        <v>398470.4587000094</v>
      </c>
      <c r="D5" s="6">
        <v>50</v>
      </c>
      <c r="E5" s="7">
        <f>IF(B5=0,0,C5/B5)</f>
        <v>0</v>
      </c>
      <c r="F5" s="8">
        <f>IF(D5=0,0,C5/D5)</f>
        <v>0</v>
      </c>
    </row>
    <row r="6" spans="1:6">
      <c r="A6" s="5">
        <v>45385</v>
      </c>
      <c r="B6" s="6">
        <v>562237.6152481986</v>
      </c>
      <c r="C6" s="6">
        <v>394703.9651176643</v>
      </c>
      <c r="D6" s="6">
        <v>50</v>
      </c>
      <c r="E6" s="7">
        <f>IF(B6=0,0,C6/B6)</f>
        <v>0</v>
      </c>
      <c r="F6" s="8">
        <f>IF(D6=0,0,C6/D6)</f>
        <v>0</v>
      </c>
    </row>
    <row r="7" spans="1:6">
      <c r="A7" s="5">
        <v>45386</v>
      </c>
      <c r="B7" s="6">
        <v>459770.9272024055</v>
      </c>
      <c r="C7" s="6">
        <v>515460.5040302585</v>
      </c>
      <c r="D7" s="6">
        <v>50</v>
      </c>
      <c r="E7" s="7">
        <f>IF(B7=0,0,C7/B7)</f>
        <v>0</v>
      </c>
      <c r="F7" s="8">
        <f>IF(D7=0,0,C7/D7)</f>
        <v>0</v>
      </c>
    </row>
    <row r="8" spans="1:6">
      <c r="A8" s="5">
        <v>45387</v>
      </c>
      <c r="B8" s="6">
        <v>519679.9026193651</v>
      </c>
      <c r="C8" s="6">
        <v>499953.6458549555</v>
      </c>
      <c r="D8" s="6">
        <v>50</v>
      </c>
      <c r="E8" s="7">
        <f>IF(B8=0,0,C8/B8)</f>
        <v>0</v>
      </c>
      <c r="F8" s="8">
        <f>IF(D8=0,0,C8/D8)</f>
        <v>0</v>
      </c>
    </row>
    <row r="9" spans="1:6">
      <c r="A9" s="5">
        <v>45388</v>
      </c>
      <c r="B9" s="6">
        <v>500036.9192283029</v>
      </c>
      <c r="C9" s="6">
        <v>476196.8929588784</v>
      </c>
      <c r="D9" s="6">
        <v>50</v>
      </c>
      <c r="E9" s="7">
        <f>IF(B9=0,0,C9/B9)</f>
        <v>0</v>
      </c>
      <c r="F9" s="8">
        <f>IF(D9=0,0,C9/D9)</f>
        <v>0</v>
      </c>
    </row>
    <row r="10" spans="1:6">
      <c r="A10" s="5">
        <v>45389</v>
      </c>
      <c r="B10" s="6">
        <v>547109.8924023067</v>
      </c>
      <c r="C10" s="6">
        <v>414947.8191777035</v>
      </c>
      <c r="D10" s="6">
        <v>50</v>
      </c>
      <c r="E10" s="7">
        <f>IF(B10=0,0,C10/B10)</f>
        <v>0</v>
      </c>
      <c r="F10" s="8">
        <f>IF(D10=0,0,C10/D10)</f>
        <v>0</v>
      </c>
    </row>
    <row r="11" spans="1:6">
      <c r="A11" s="5">
        <v>45390</v>
      </c>
      <c r="B11" s="6">
        <v>382994.8623771467</v>
      </c>
      <c r="C11" s="6">
        <v>508471.8440271611</v>
      </c>
      <c r="D11" s="6">
        <v>50</v>
      </c>
      <c r="E11" s="7">
        <f>IF(B11=0,0,C11/B11)</f>
        <v>0</v>
      </c>
      <c r="F11" s="8">
        <f>IF(D11=0,0,C11/D11)</f>
        <v>0</v>
      </c>
    </row>
    <row r="12" spans="1:6">
      <c r="A12" s="5">
        <v>45391</v>
      </c>
      <c r="B12" s="6">
        <v>490762.9700974193</v>
      </c>
      <c r="C12" s="6">
        <v>445330.065808962</v>
      </c>
      <c r="D12" s="6">
        <v>50</v>
      </c>
      <c r="E12" s="7">
        <f>IF(B12=0,0,C12/B12)</f>
        <v>0</v>
      </c>
      <c r="F12" s="8">
        <f>IF(D12=0,0,C12/D12)</f>
        <v>0</v>
      </c>
    </row>
    <row r="13" spans="1:6">
      <c r="A13" s="5">
        <v>45392</v>
      </c>
      <c r="B13" s="6">
        <v>461360.1998861185</v>
      </c>
      <c r="C13" s="6">
        <v>412909.0087107029</v>
      </c>
      <c r="D13" s="6">
        <v>50</v>
      </c>
      <c r="E13" s="7">
        <f>IF(B13=0,0,C13/B13)</f>
        <v>0</v>
      </c>
      <c r="F13" s="8">
        <f>IF(D13=0,0,C13/D13)</f>
        <v>0</v>
      </c>
    </row>
    <row r="14" spans="1:6">
      <c r="A14" s="5">
        <v>45393</v>
      </c>
      <c r="B14" s="6">
        <v>521676.7600500278</v>
      </c>
      <c r="C14" s="6">
        <v>338583.3674783382</v>
      </c>
      <c r="D14" s="6">
        <v>50</v>
      </c>
      <c r="E14" s="7">
        <f>IF(B14=0,0,C14/B14)</f>
        <v>0</v>
      </c>
      <c r="F14" s="8">
        <f>IF(D14=0,0,C14/D14)</f>
        <v>0</v>
      </c>
    </row>
    <row r="15" spans="1:6">
      <c r="A15" s="5">
        <v>45394</v>
      </c>
      <c r="B15" s="6">
        <v>440056.7345785635</v>
      </c>
      <c r="C15" s="6">
        <v>493364.4613001125</v>
      </c>
      <c r="D15" s="6">
        <v>50</v>
      </c>
      <c r="E15" s="7">
        <f>IF(B15=0,0,C15/B15)</f>
        <v>0</v>
      </c>
      <c r="F15" s="8">
        <f>IF(D15=0,0,C15/D15)</f>
        <v>0</v>
      </c>
    </row>
    <row r="16" spans="1:6">
      <c r="A16" s="5">
        <v>45395</v>
      </c>
      <c r="B16" s="6">
        <v>556088.4209488387</v>
      </c>
      <c r="C16" s="6">
        <v>407795.1307850974</v>
      </c>
      <c r="D16" s="6">
        <v>50</v>
      </c>
      <c r="E16" s="7">
        <f>IF(B16=0,0,C16/B16)</f>
        <v>0</v>
      </c>
      <c r="F16" s="8">
        <f>IF(D16=0,0,C16/D16)</f>
        <v>0</v>
      </c>
    </row>
    <row r="17" spans="1:6">
      <c r="A17" s="5">
        <v>45396</v>
      </c>
      <c r="B17" s="6">
        <v>547347.1284366888</v>
      </c>
      <c r="C17" s="6">
        <v>427414.4275397016</v>
      </c>
      <c r="D17" s="6">
        <v>50</v>
      </c>
      <c r="E17" s="7">
        <f>IF(B17=0,0,C17/B17)</f>
        <v>0</v>
      </c>
      <c r="F17" s="8">
        <f>IF(D17=0,0,C17/D17)</f>
        <v>0</v>
      </c>
    </row>
    <row r="18" spans="1:6">
      <c r="A18" s="5">
        <v>45397</v>
      </c>
      <c r="B18" s="6">
        <v>417434.1830974394</v>
      </c>
      <c r="C18" s="6">
        <v>425108.4658976009</v>
      </c>
      <c r="D18" s="6">
        <v>50</v>
      </c>
      <c r="E18" s="7">
        <f>IF(B18=0,0,C18/B18)</f>
        <v>0</v>
      </c>
      <c r="F18" s="8">
        <f>IF(D18=0,0,C18/D18)</f>
        <v>0</v>
      </c>
    </row>
    <row r="19" spans="1:6">
      <c r="A19" s="5">
        <v>45398</v>
      </c>
      <c r="B19" s="6">
        <v>461301.2027603296</v>
      </c>
      <c r="C19" s="6">
        <v>458383.9948308454</v>
      </c>
      <c r="D19" s="6">
        <v>50</v>
      </c>
      <c r="E19" s="7">
        <f>IF(B19=0,0,C19/B19)</f>
        <v>0</v>
      </c>
      <c r="F19" s="8">
        <f>IF(D19=0,0,C19/D19)</f>
        <v>0</v>
      </c>
    </row>
    <row r="20" spans="1:6">
      <c r="A20" s="5">
        <v>45399</v>
      </c>
      <c r="B20" s="6">
        <v>554037.3986060029</v>
      </c>
      <c r="C20" s="6">
        <v>604578.9560764851</v>
      </c>
      <c r="D20" s="6">
        <v>50</v>
      </c>
      <c r="E20" s="7">
        <f>IF(B20=0,0,C20/B20)</f>
        <v>0</v>
      </c>
      <c r="F20" s="8">
        <f>IF(D20=0,0,C20/D20)</f>
        <v>0</v>
      </c>
    </row>
    <row r="21" spans="1:6">
      <c r="A21" s="5">
        <v>45400</v>
      </c>
      <c r="B21" s="6">
        <v>416594.2645444252</v>
      </c>
      <c r="C21" s="6">
        <v>606065.4097998441</v>
      </c>
      <c r="D21" s="6">
        <v>50</v>
      </c>
      <c r="E21" s="7">
        <f>IF(B21=0,0,C21/B21)</f>
        <v>0</v>
      </c>
      <c r="F21" s="8">
        <f>IF(D21=0,0,C21/D21)</f>
        <v>0</v>
      </c>
    </row>
    <row r="22" spans="1:6">
      <c r="A22" s="5">
        <v>45401</v>
      </c>
      <c r="B22" s="6">
        <v>441396.3683879216</v>
      </c>
      <c r="C22" s="6">
        <v>468003.033070695</v>
      </c>
      <c r="D22" s="6">
        <v>50</v>
      </c>
      <c r="E22" s="7">
        <f>IF(B22=0,0,C22/B22)</f>
        <v>0</v>
      </c>
      <c r="F22" s="8">
        <f>IF(D22=0,0,C22/D22)</f>
        <v>0</v>
      </c>
    </row>
    <row r="23" spans="1:6">
      <c r="A23" s="5">
        <v>45402</v>
      </c>
      <c r="B23" s="6">
        <v>460388.0747401465</v>
      </c>
      <c r="C23" s="6">
        <v>508073.6642661101</v>
      </c>
      <c r="D23" s="6">
        <v>50</v>
      </c>
      <c r="E23" s="7">
        <f>IF(B23=0,0,C23/B23)</f>
        <v>0</v>
      </c>
      <c r="F23" s="8">
        <f>IF(D23=0,0,C23/D23)</f>
        <v>0</v>
      </c>
    </row>
    <row r="24" spans="1:6">
      <c r="A24" s="5">
        <v>45403</v>
      </c>
      <c r="B24" s="6">
        <v>450585.9247849361</v>
      </c>
      <c r="C24" s="6">
        <v>373333.5472598716</v>
      </c>
      <c r="D24" s="6">
        <v>50</v>
      </c>
      <c r="E24" s="7">
        <f>IF(B24=0,0,C24/B24)</f>
        <v>0</v>
      </c>
      <c r="F24" s="8">
        <f>IF(D24=0,0,C24/D24)</f>
        <v>0</v>
      </c>
    </row>
    <row r="25" spans="1:6">
      <c r="A25" s="5">
        <v>45404</v>
      </c>
      <c r="B25" s="6">
        <v>440871.2756623946</v>
      </c>
      <c r="C25" s="6">
        <v>543920.8507823789</v>
      </c>
      <c r="D25" s="6">
        <v>50</v>
      </c>
      <c r="E25" s="7">
        <f>IF(B25=0,0,C25/B25)</f>
        <v>0</v>
      </c>
      <c r="F25" s="8">
        <f>IF(D25=0,0,C25/D25)</f>
        <v>0</v>
      </c>
    </row>
    <row r="26" spans="1:6">
      <c r="A26" s="5">
        <v>45405</v>
      </c>
      <c r="B26" s="6">
        <v>519802.067900489</v>
      </c>
      <c r="C26" s="6">
        <v>413672.7980789851</v>
      </c>
      <c r="D26" s="6">
        <v>50</v>
      </c>
      <c r="E26" s="7">
        <f>IF(B26=0,0,C26/B26)</f>
        <v>0</v>
      </c>
      <c r="F26" s="8">
        <f>IF(D26=0,0,C26/D26)</f>
        <v>0</v>
      </c>
    </row>
    <row r="27" spans="1:6">
      <c r="A27" s="5">
        <v>45406</v>
      </c>
      <c r="B27" s="6">
        <v>491236.0714980673</v>
      </c>
      <c r="C27" s="6">
        <v>462303.5179377216</v>
      </c>
      <c r="D27" s="6">
        <v>50</v>
      </c>
      <c r="E27" s="7">
        <f>IF(B27=0,0,C27/B27)</f>
        <v>0</v>
      </c>
      <c r="F27" s="8">
        <f>IF(D27=0,0,C27/D27)</f>
        <v>0</v>
      </c>
    </row>
    <row r="28" spans="1:6">
      <c r="A28" s="5">
        <v>45407</v>
      </c>
      <c r="B28" s="6">
        <v>567110.3763058494</v>
      </c>
      <c r="C28" s="6">
        <v>496045.9080163058</v>
      </c>
      <c r="D28" s="6">
        <v>50</v>
      </c>
      <c r="E28" s="7">
        <f>IF(B28=0,0,C28/B28)</f>
        <v>0</v>
      </c>
      <c r="F28" s="8">
        <f>IF(D28=0,0,C28/D28)</f>
        <v>0</v>
      </c>
    </row>
    <row r="29" spans="1:6">
      <c r="A29" s="5">
        <v>45408</v>
      </c>
      <c r="B29" s="6">
        <v>472887.3137369317</v>
      </c>
      <c r="C29" s="6">
        <v>459615.721880657</v>
      </c>
      <c r="D29" s="6">
        <v>50</v>
      </c>
      <c r="E29" s="7">
        <f>IF(B29=0,0,C29/B29)</f>
        <v>0</v>
      </c>
      <c r="F29" s="8">
        <f>IF(D29=0,0,C29/D29)</f>
        <v>0</v>
      </c>
    </row>
    <row r="30" spans="1:6">
      <c r="A30" s="5">
        <v>45409</v>
      </c>
      <c r="B30" s="6">
        <v>447381.7232393779</v>
      </c>
      <c r="C30" s="6">
        <v>430896.346439078</v>
      </c>
      <c r="D30" s="6">
        <v>50</v>
      </c>
      <c r="E30" s="7">
        <f>IF(B30=0,0,C30/B30)</f>
        <v>0</v>
      </c>
      <c r="F30" s="8">
        <f>IF(D30=0,0,C30/D30)</f>
        <v>0</v>
      </c>
    </row>
    <row r="31" spans="1:6">
      <c r="A31" s="5">
        <v>45410</v>
      </c>
      <c r="B31" s="6">
        <v>463190.877331938</v>
      </c>
      <c r="C31" s="6">
        <v>448022.0355261289</v>
      </c>
      <c r="D31" s="6">
        <v>50</v>
      </c>
      <c r="E31" s="7">
        <f>IF(B31=0,0,C31/B31)</f>
        <v>0</v>
      </c>
      <c r="F31" s="8">
        <f>IF(D31=0,0,C31/D31)</f>
        <v>0</v>
      </c>
    </row>
    <row r="32" spans="1:6">
      <c r="A32" s="5">
        <v>45411</v>
      </c>
      <c r="B32" s="6">
        <v>565171.7798706618</v>
      </c>
      <c r="C32" s="6">
        <v>533305.1988074158</v>
      </c>
      <c r="D32" s="6">
        <v>50</v>
      </c>
      <c r="E32" s="7">
        <f>IF(B32=0,0,C32/B32)</f>
        <v>0</v>
      </c>
      <c r="F32" s="8">
        <f>IF(D32=0,0,C32/D32)</f>
        <v>0</v>
      </c>
    </row>
    <row r="33" spans="1:6">
      <c r="A33" s="5">
        <v>45412</v>
      </c>
      <c r="B33" s="6">
        <v>469472.548738514</v>
      </c>
      <c r="C33" s="6">
        <v>413120.6680745612</v>
      </c>
      <c r="D33" s="6">
        <v>50</v>
      </c>
      <c r="E33" s="7">
        <f>IF(B33=0,0,C33/B33)</f>
        <v>0</v>
      </c>
      <c r="F33" s="8">
        <f>IF(D33=0,0,C33/D33)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3"/>
  <sheetViews>
    <sheetView workbookViewId="0"/>
  </sheetViews>
  <sheetFormatPr defaultRowHeight="15"/>
  <cols>
    <col min="1" max="1" width="14.7109375" customWidth="1"/>
    <col min="2" max="2" width="18.7109375" customWidth="1"/>
    <col min="3" max="3" width="16.7109375" customWidth="1"/>
    <col min="4" max="4" width="18.7109375" customWidth="1"/>
    <col min="5" max="6" width="22.7109375" customWidth="1"/>
  </cols>
  <sheetData>
    <row r="1" spans="1:6" ht="22" customHeight="1">
      <c r="A1" s="1" t="s">
        <v>8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2</v>
      </c>
      <c r="B3" s="3" t="s">
        <v>9</v>
      </c>
      <c r="C3" s="3" t="s">
        <v>10</v>
      </c>
      <c r="D3" s="3" t="s">
        <v>11</v>
      </c>
      <c r="E3" s="4" t="s">
        <v>12</v>
      </c>
      <c r="F3" s="4" t="s">
        <v>13</v>
      </c>
    </row>
    <row r="4" spans="1:6">
      <c r="A4" s="5">
        <v>45383</v>
      </c>
      <c r="B4" s="6">
        <v>48</v>
      </c>
      <c r="C4" s="6">
        <v>50</v>
      </c>
      <c r="D4" s="6">
        <v>0</v>
      </c>
      <c r="E4" s="8">
        <f>B4</f>
        <v>0</v>
      </c>
      <c r="F4" s="7">
        <f>IF(C4=0,0,D4/C4)</f>
        <v>0</v>
      </c>
    </row>
    <row r="5" spans="1:6">
      <c r="A5" s="5">
        <v>45384</v>
      </c>
      <c r="B5" s="6">
        <v>47</v>
      </c>
      <c r="C5" s="6">
        <v>50</v>
      </c>
      <c r="D5" s="6">
        <v>0</v>
      </c>
      <c r="E5" s="8">
        <f>B5</f>
        <v>0</v>
      </c>
      <c r="F5" s="7">
        <f>IF(C5=0,0,D5/C5)</f>
        <v>0</v>
      </c>
    </row>
    <row r="6" spans="1:6">
      <c r="A6" s="5">
        <v>45385</v>
      </c>
      <c r="B6" s="6">
        <v>46</v>
      </c>
      <c r="C6" s="6">
        <v>50</v>
      </c>
      <c r="D6" s="6">
        <v>1</v>
      </c>
      <c r="E6" s="8">
        <f>B6</f>
        <v>0</v>
      </c>
      <c r="F6" s="7">
        <f>IF(C6=0,0,D6/C6)</f>
        <v>0</v>
      </c>
    </row>
    <row r="7" spans="1:6">
      <c r="A7" s="5">
        <v>45386</v>
      </c>
      <c r="B7" s="6">
        <v>46</v>
      </c>
      <c r="C7" s="6">
        <v>50</v>
      </c>
      <c r="D7" s="6">
        <v>2</v>
      </c>
      <c r="E7" s="8">
        <f>B7</f>
        <v>0</v>
      </c>
      <c r="F7" s="7">
        <f>IF(C7=0,0,D7/C7)</f>
        <v>0</v>
      </c>
    </row>
    <row r="8" spans="1:6">
      <c r="A8" s="5">
        <v>45387</v>
      </c>
      <c r="B8" s="6">
        <v>48</v>
      </c>
      <c r="C8" s="6">
        <v>50</v>
      </c>
      <c r="D8" s="6">
        <v>0</v>
      </c>
      <c r="E8" s="8">
        <f>B8</f>
        <v>0</v>
      </c>
      <c r="F8" s="7">
        <f>IF(C8=0,0,D8/C8)</f>
        <v>0</v>
      </c>
    </row>
    <row r="9" spans="1:6">
      <c r="A9" s="5">
        <v>45388</v>
      </c>
      <c r="B9" s="6">
        <v>49</v>
      </c>
      <c r="C9" s="6">
        <v>50</v>
      </c>
      <c r="D9" s="6">
        <v>4</v>
      </c>
      <c r="E9" s="8">
        <f>B9</f>
        <v>0</v>
      </c>
      <c r="F9" s="7">
        <f>IF(C9=0,0,D9/C9)</f>
        <v>0</v>
      </c>
    </row>
    <row r="10" spans="1:6">
      <c r="A10" s="5">
        <v>45389</v>
      </c>
      <c r="B10" s="6">
        <v>48</v>
      </c>
      <c r="C10" s="6">
        <v>50</v>
      </c>
      <c r="D10" s="6">
        <v>1</v>
      </c>
      <c r="E10" s="8">
        <f>B10</f>
        <v>0</v>
      </c>
      <c r="F10" s="7">
        <f>IF(C10=0,0,D10/C10)</f>
        <v>0</v>
      </c>
    </row>
    <row r="11" spans="1:6">
      <c r="A11" s="5">
        <v>45390</v>
      </c>
      <c r="B11" s="6">
        <v>46</v>
      </c>
      <c r="C11" s="6">
        <v>50</v>
      </c>
      <c r="D11" s="6">
        <v>1</v>
      </c>
      <c r="E11" s="8">
        <f>B11</f>
        <v>0</v>
      </c>
      <c r="F11" s="7">
        <f>IF(C11=0,0,D11/C11)</f>
        <v>0</v>
      </c>
    </row>
    <row r="12" spans="1:6">
      <c r="A12" s="5">
        <v>45391</v>
      </c>
      <c r="B12" s="6">
        <v>49</v>
      </c>
      <c r="C12" s="6">
        <v>50</v>
      </c>
      <c r="D12" s="6">
        <v>1</v>
      </c>
      <c r="E12" s="8">
        <f>B12</f>
        <v>0</v>
      </c>
      <c r="F12" s="7">
        <f>IF(C12=0,0,D12/C12)</f>
        <v>0</v>
      </c>
    </row>
    <row r="13" spans="1:6">
      <c r="A13" s="5">
        <v>45392</v>
      </c>
      <c r="B13" s="6">
        <v>48</v>
      </c>
      <c r="C13" s="6">
        <v>50</v>
      </c>
      <c r="D13" s="6">
        <v>1</v>
      </c>
      <c r="E13" s="8">
        <f>B13</f>
        <v>0</v>
      </c>
      <c r="F13" s="7">
        <f>IF(C13=0,0,D13/C13)</f>
        <v>0</v>
      </c>
    </row>
    <row r="14" spans="1:6">
      <c r="A14" s="5">
        <v>45393</v>
      </c>
      <c r="B14" s="6">
        <v>47</v>
      </c>
      <c r="C14" s="6">
        <v>50</v>
      </c>
      <c r="D14" s="6">
        <v>1</v>
      </c>
      <c r="E14" s="8">
        <f>B14</f>
        <v>0</v>
      </c>
      <c r="F14" s="7">
        <f>IF(C14=0,0,D14/C14)</f>
        <v>0</v>
      </c>
    </row>
    <row r="15" spans="1:6">
      <c r="A15" s="5">
        <v>45394</v>
      </c>
      <c r="B15" s="6">
        <v>47</v>
      </c>
      <c r="C15" s="6">
        <v>50</v>
      </c>
      <c r="D15" s="6">
        <v>0</v>
      </c>
      <c r="E15" s="8">
        <f>B15</f>
        <v>0</v>
      </c>
      <c r="F15" s="7">
        <f>IF(C15=0,0,D15/C15)</f>
        <v>0</v>
      </c>
    </row>
    <row r="16" spans="1:6">
      <c r="A16" s="5">
        <v>45395</v>
      </c>
      <c r="B16" s="6">
        <v>50</v>
      </c>
      <c r="C16" s="6">
        <v>50</v>
      </c>
      <c r="D16" s="6">
        <v>2</v>
      </c>
      <c r="E16" s="8">
        <f>B16</f>
        <v>0</v>
      </c>
      <c r="F16" s="7">
        <f>IF(C16=0,0,D16/C16)</f>
        <v>0</v>
      </c>
    </row>
    <row r="17" spans="1:6">
      <c r="A17" s="5">
        <v>45396</v>
      </c>
      <c r="B17" s="6">
        <v>51</v>
      </c>
      <c r="C17" s="6">
        <v>50</v>
      </c>
      <c r="D17" s="6">
        <v>2</v>
      </c>
      <c r="E17" s="8">
        <f>B17</f>
        <v>0</v>
      </c>
      <c r="F17" s="7">
        <f>IF(C17=0,0,D17/C17)</f>
        <v>0</v>
      </c>
    </row>
    <row r="18" spans="1:6">
      <c r="A18" s="5">
        <v>45397</v>
      </c>
      <c r="B18" s="6">
        <v>53</v>
      </c>
      <c r="C18" s="6">
        <v>50</v>
      </c>
      <c r="D18" s="6">
        <v>3</v>
      </c>
      <c r="E18" s="8">
        <f>B18</f>
        <v>0</v>
      </c>
      <c r="F18" s="7">
        <f>IF(C18=0,0,D18/C18)</f>
        <v>0</v>
      </c>
    </row>
    <row r="19" spans="1:6">
      <c r="A19" s="5">
        <v>45398</v>
      </c>
      <c r="B19" s="6">
        <v>48</v>
      </c>
      <c r="C19" s="6">
        <v>50</v>
      </c>
      <c r="D19" s="6">
        <v>3</v>
      </c>
      <c r="E19" s="8">
        <f>B19</f>
        <v>0</v>
      </c>
      <c r="F19" s="7">
        <f>IF(C19=0,0,D19/C19)</f>
        <v>0</v>
      </c>
    </row>
    <row r="20" spans="1:6">
      <c r="A20" s="5">
        <v>45399</v>
      </c>
      <c r="B20" s="6">
        <v>44</v>
      </c>
      <c r="C20" s="6">
        <v>50</v>
      </c>
      <c r="D20" s="6">
        <v>1</v>
      </c>
      <c r="E20" s="8">
        <f>B20</f>
        <v>0</v>
      </c>
      <c r="F20" s="7">
        <f>IF(C20=0,0,D20/C20)</f>
        <v>0</v>
      </c>
    </row>
    <row r="21" spans="1:6">
      <c r="A21" s="5">
        <v>45400</v>
      </c>
      <c r="B21" s="6">
        <v>48</v>
      </c>
      <c r="C21" s="6">
        <v>50</v>
      </c>
      <c r="D21" s="6">
        <v>0</v>
      </c>
      <c r="E21" s="8">
        <f>B21</f>
        <v>0</v>
      </c>
      <c r="F21" s="7">
        <f>IF(C21=0,0,D21/C21)</f>
        <v>0</v>
      </c>
    </row>
    <row r="22" spans="1:6">
      <c r="A22" s="5">
        <v>45401</v>
      </c>
      <c r="B22" s="6">
        <v>48</v>
      </c>
      <c r="C22" s="6">
        <v>50</v>
      </c>
      <c r="D22" s="6">
        <v>1</v>
      </c>
      <c r="E22" s="8">
        <f>B22</f>
        <v>0</v>
      </c>
      <c r="F22" s="7">
        <f>IF(C22=0,0,D22/C22)</f>
        <v>0</v>
      </c>
    </row>
    <row r="23" spans="1:6">
      <c r="A23" s="5">
        <v>45402</v>
      </c>
      <c r="B23" s="6">
        <v>51</v>
      </c>
      <c r="C23" s="6">
        <v>50</v>
      </c>
      <c r="D23" s="6">
        <v>2</v>
      </c>
      <c r="E23" s="8">
        <f>B23</f>
        <v>0</v>
      </c>
      <c r="F23" s="7">
        <f>IF(C23=0,0,D23/C23)</f>
        <v>0</v>
      </c>
    </row>
    <row r="24" spans="1:6">
      <c r="A24" s="5">
        <v>45403</v>
      </c>
      <c r="B24" s="6">
        <v>44</v>
      </c>
      <c r="C24" s="6">
        <v>50</v>
      </c>
      <c r="D24" s="6">
        <v>1</v>
      </c>
      <c r="E24" s="8">
        <f>B24</f>
        <v>0</v>
      </c>
      <c r="F24" s="7">
        <f>IF(C24=0,0,D24/C24)</f>
        <v>0</v>
      </c>
    </row>
    <row r="25" spans="1:6">
      <c r="A25" s="5">
        <v>45404</v>
      </c>
      <c r="B25" s="6">
        <v>46</v>
      </c>
      <c r="C25" s="6">
        <v>50</v>
      </c>
      <c r="D25" s="6">
        <v>2</v>
      </c>
      <c r="E25" s="8">
        <f>B25</f>
        <v>0</v>
      </c>
      <c r="F25" s="7">
        <f>IF(C25=0,0,D25/C25)</f>
        <v>0</v>
      </c>
    </row>
    <row r="26" spans="1:6">
      <c r="A26" s="5">
        <v>45405</v>
      </c>
      <c r="B26" s="6">
        <v>48</v>
      </c>
      <c r="C26" s="6">
        <v>50</v>
      </c>
      <c r="D26" s="6">
        <v>1</v>
      </c>
      <c r="E26" s="8">
        <f>B26</f>
        <v>0</v>
      </c>
      <c r="F26" s="7">
        <f>IF(C26=0,0,D26/C26)</f>
        <v>0</v>
      </c>
    </row>
    <row r="27" spans="1:6">
      <c r="A27" s="5">
        <v>45406</v>
      </c>
      <c r="B27" s="6">
        <v>46</v>
      </c>
      <c r="C27" s="6">
        <v>50</v>
      </c>
      <c r="D27" s="6">
        <v>1</v>
      </c>
      <c r="E27" s="8">
        <f>B27</f>
        <v>0</v>
      </c>
      <c r="F27" s="7">
        <f>IF(C27=0,0,D27/C27)</f>
        <v>0</v>
      </c>
    </row>
    <row r="28" spans="1:6">
      <c r="A28" s="5">
        <v>45407</v>
      </c>
      <c r="B28" s="6">
        <v>46</v>
      </c>
      <c r="C28" s="6">
        <v>50</v>
      </c>
      <c r="D28" s="6">
        <v>0</v>
      </c>
      <c r="E28" s="8">
        <f>B28</f>
        <v>0</v>
      </c>
      <c r="F28" s="7">
        <f>IF(C28=0,0,D28/C28)</f>
        <v>0</v>
      </c>
    </row>
    <row r="29" spans="1:6">
      <c r="A29" s="5">
        <v>45408</v>
      </c>
      <c r="B29" s="6">
        <v>44</v>
      </c>
      <c r="C29" s="6">
        <v>50</v>
      </c>
      <c r="D29" s="6">
        <v>0</v>
      </c>
      <c r="E29" s="8">
        <f>B29</f>
        <v>0</v>
      </c>
      <c r="F29" s="7">
        <f>IF(C29=0,0,D29/C29)</f>
        <v>0</v>
      </c>
    </row>
    <row r="30" spans="1:6">
      <c r="A30" s="5">
        <v>45409</v>
      </c>
      <c r="B30" s="6">
        <v>45</v>
      </c>
      <c r="C30" s="6">
        <v>50</v>
      </c>
      <c r="D30" s="6">
        <v>1</v>
      </c>
      <c r="E30" s="8">
        <f>B30</f>
        <v>0</v>
      </c>
      <c r="F30" s="7">
        <f>IF(C30=0,0,D30/C30)</f>
        <v>0</v>
      </c>
    </row>
    <row r="31" spans="1:6">
      <c r="A31" s="5">
        <v>45410</v>
      </c>
      <c r="B31" s="6">
        <v>51</v>
      </c>
      <c r="C31" s="6">
        <v>50</v>
      </c>
      <c r="D31" s="6">
        <v>1</v>
      </c>
      <c r="E31" s="8">
        <f>B31</f>
        <v>0</v>
      </c>
      <c r="F31" s="7">
        <f>IF(C31=0,0,D31/C31)</f>
        <v>0</v>
      </c>
    </row>
    <row r="32" spans="1:6">
      <c r="A32" s="5">
        <v>45411</v>
      </c>
      <c r="B32" s="6">
        <v>50</v>
      </c>
      <c r="C32" s="6">
        <v>50</v>
      </c>
      <c r="D32" s="6">
        <v>1</v>
      </c>
      <c r="E32" s="8">
        <f>B32</f>
        <v>0</v>
      </c>
      <c r="F32" s="7">
        <f>IF(C32=0,0,D32/C32)</f>
        <v>0</v>
      </c>
    </row>
    <row r="33" spans="1:6">
      <c r="A33" s="5">
        <v>45412</v>
      </c>
      <c r="B33" s="6">
        <v>51</v>
      </c>
      <c r="C33" s="6">
        <v>50</v>
      </c>
      <c r="D33" s="6">
        <v>1</v>
      </c>
      <c r="E33" s="8">
        <f>B33</f>
        <v>0</v>
      </c>
      <c r="F33" s="7">
        <f>IF(C33=0,0,D33/C33)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33"/>
  <sheetViews>
    <sheetView workbookViewId="0"/>
  </sheetViews>
  <sheetFormatPr defaultRowHeight="15"/>
  <cols>
    <col min="1" max="1" width="14.7109375" customWidth="1"/>
    <col min="2" max="3" width="20.7109375" customWidth="1"/>
    <col min="4" max="4" width="22.7109375" customWidth="1"/>
    <col min="5" max="5" width="20.7109375" customWidth="1"/>
    <col min="6" max="7" width="22.7109375" customWidth="1"/>
  </cols>
  <sheetData>
    <row r="1" spans="1:7" ht="22" customHeight="1">
      <c r="A1" s="1" t="s">
        <v>14</v>
      </c>
      <c r="B1" s="1"/>
      <c r="C1" s="1"/>
      <c r="D1" s="1"/>
      <c r="E1" s="1"/>
      <c r="F1" s="1"/>
      <c r="G1" s="1"/>
    </row>
    <row r="2" spans="1:7" ht="30" customHeight="1">
      <c r="A2" s="2" t="s">
        <v>1</v>
      </c>
      <c r="B2" s="2"/>
      <c r="C2" s="2"/>
      <c r="D2" s="2"/>
      <c r="E2" s="2"/>
      <c r="F2" s="2"/>
      <c r="G2" s="2"/>
    </row>
    <row r="3" spans="1:7">
      <c r="A3" s="3" t="s">
        <v>2</v>
      </c>
      <c r="B3" s="3" t="s">
        <v>15</v>
      </c>
      <c r="C3" s="3" t="s">
        <v>16</v>
      </c>
      <c r="D3" s="3" t="s">
        <v>17</v>
      </c>
      <c r="E3" s="3" t="s">
        <v>18</v>
      </c>
      <c r="F3" s="4" t="s">
        <v>19</v>
      </c>
      <c r="G3" s="4" t="s">
        <v>20</v>
      </c>
    </row>
    <row r="4" spans="1:7">
      <c r="A4" s="5">
        <v>45383</v>
      </c>
      <c r="B4" s="6">
        <v>48</v>
      </c>
      <c r="C4" s="6">
        <v>50</v>
      </c>
      <c r="D4" s="6">
        <v>142028.7046085989</v>
      </c>
      <c r="E4" s="6">
        <v>50</v>
      </c>
      <c r="F4" s="7">
        <f>IF(C4=0,0,B4/C4)</f>
        <v>0</v>
      </c>
      <c r="G4" s="8">
        <f>IF(E4=0,0,D4/E4)</f>
        <v>0</v>
      </c>
    </row>
    <row r="5" spans="1:7">
      <c r="A5" s="5">
        <v>45384</v>
      </c>
      <c r="B5" s="6">
        <v>46</v>
      </c>
      <c r="C5" s="6">
        <v>50</v>
      </c>
      <c r="D5" s="6">
        <v>146174.7279099747</v>
      </c>
      <c r="E5" s="6">
        <v>50</v>
      </c>
      <c r="F5" s="7">
        <f>IF(C5=0,0,B5/C5)</f>
        <v>0</v>
      </c>
      <c r="G5" s="8">
        <f>IF(E5=0,0,D5/E5)</f>
        <v>0</v>
      </c>
    </row>
    <row r="6" spans="1:7">
      <c r="A6" s="5">
        <v>45385</v>
      </c>
      <c r="B6" s="6">
        <v>49</v>
      </c>
      <c r="C6" s="6">
        <v>50</v>
      </c>
      <c r="D6" s="6">
        <v>128693.3435583787</v>
      </c>
      <c r="E6" s="6">
        <v>50</v>
      </c>
      <c r="F6" s="7">
        <f>IF(C6=0,0,B6/C6)</f>
        <v>0</v>
      </c>
      <c r="G6" s="8">
        <f>IF(E6=0,0,D6/E6)</f>
        <v>0</v>
      </c>
    </row>
    <row r="7" spans="1:7">
      <c r="A7" s="5">
        <v>45386</v>
      </c>
      <c r="B7" s="6">
        <v>46</v>
      </c>
      <c r="C7" s="6">
        <v>50</v>
      </c>
      <c r="D7" s="6">
        <v>150006.0669928434</v>
      </c>
      <c r="E7" s="6">
        <v>50</v>
      </c>
      <c r="F7" s="7">
        <f>IF(C7=0,0,B7/C7)</f>
        <v>0</v>
      </c>
      <c r="G7" s="8">
        <f>IF(E7=0,0,D7/E7)</f>
        <v>0</v>
      </c>
    </row>
    <row r="8" spans="1:7">
      <c r="A8" s="5">
        <v>45387</v>
      </c>
      <c r="B8" s="6">
        <v>53</v>
      </c>
      <c r="C8" s="6">
        <v>50</v>
      </c>
      <c r="D8" s="6">
        <v>161081.2584259819</v>
      </c>
      <c r="E8" s="6">
        <v>50</v>
      </c>
      <c r="F8" s="7">
        <f>IF(C8=0,0,B8/C8)</f>
        <v>0</v>
      </c>
      <c r="G8" s="8">
        <f>IF(E8=0,0,D8/E8)</f>
        <v>0</v>
      </c>
    </row>
    <row r="9" spans="1:7">
      <c r="A9" s="5">
        <v>45388</v>
      </c>
      <c r="B9" s="6">
        <v>45</v>
      </c>
      <c r="C9" s="6">
        <v>50</v>
      </c>
      <c r="D9" s="6">
        <v>142057.4971292608</v>
      </c>
      <c r="E9" s="6">
        <v>50</v>
      </c>
      <c r="F9" s="7">
        <f>IF(C9=0,0,B9/C9)</f>
        <v>0</v>
      </c>
      <c r="G9" s="8">
        <f>IF(E9=0,0,D9/E9)</f>
        <v>0</v>
      </c>
    </row>
    <row r="10" spans="1:7">
      <c r="A10" s="5">
        <v>45389</v>
      </c>
      <c r="B10" s="6">
        <v>46</v>
      </c>
      <c r="C10" s="6">
        <v>50</v>
      </c>
      <c r="D10" s="6">
        <v>156678.7900395087</v>
      </c>
      <c r="E10" s="6">
        <v>50</v>
      </c>
      <c r="F10" s="7">
        <f>IF(C10=0,0,B10/C10)</f>
        <v>0</v>
      </c>
      <c r="G10" s="8">
        <f>IF(E10=0,0,D10/E10)</f>
        <v>0</v>
      </c>
    </row>
    <row r="11" spans="1:7">
      <c r="A11" s="5">
        <v>45390</v>
      </c>
      <c r="B11" s="6">
        <v>48</v>
      </c>
      <c r="C11" s="6">
        <v>50</v>
      </c>
      <c r="D11" s="6">
        <v>133941.8931147696</v>
      </c>
      <c r="E11" s="6">
        <v>50</v>
      </c>
      <c r="F11" s="7">
        <f>IF(C11=0,0,B11/C11)</f>
        <v>0</v>
      </c>
      <c r="G11" s="8">
        <f>IF(E11=0,0,D11/E11)</f>
        <v>0</v>
      </c>
    </row>
    <row r="12" spans="1:7">
      <c r="A12" s="5">
        <v>45391</v>
      </c>
      <c r="B12" s="6">
        <v>46</v>
      </c>
      <c r="C12" s="6">
        <v>50</v>
      </c>
      <c r="D12" s="6">
        <v>153978.1560431242</v>
      </c>
      <c r="E12" s="6">
        <v>50</v>
      </c>
      <c r="F12" s="7">
        <f>IF(C12=0,0,B12/C12)</f>
        <v>0</v>
      </c>
      <c r="G12" s="8">
        <f>IF(E12=0,0,D12/E12)</f>
        <v>0</v>
      </c>
    </row>
    <row r="13" spans="1:7">
      <c r="A13" s="5">
        <v>45392</v>
      </c>
      <c r="B13" s="6">
        <v>48</v>
      </c>
      <c r="C13" s="6">
        <v>50</v>
      </c>
      <c r="D13" s="6">
        <v>146945.1961439579</v>
      </c>
      <c r="E13" s="6">
        <v>50</v>
      </c>
      <c r="F13" s="7">
        <f>IF(C13=0,0,B13/C13)</f>
        <v>0</v>
      </c>
      <c r="G13" s="8">
        <f>IF(E13=0,0,D13/E13)</f>
        <v>0</v>
      </c>
    </row>
    <row r="14" spans="1:7">
      <c r="A14" s="5">
        <v>45393</v>
      </c>
      <c r="B14" s="6">
        <v>49</v>
      </c>
      <c r="C14" s="6">
        <v>50</v>
      </c>
      <c r="D14" s="6">
        <v>152286.211252063</v>
      </c>
      <c r="E14" s="6">
        <v>50</v>
      </c>
      <c r="F14" s="7">
        <f>IF(C14=0,0,B14/C14)</f>
        <v>0</v>
      </c>
      <c r="G14" s="8">
        <f>IF(E14=0,0,D14/E14)</f>
        <v>0</v>
      </c>
    </row>
    <row r="15" spans="1:7">
      <c r="A15" s="5">
        <v>45394</v>
      </c>
      <c r="B15" s="6">
        <v>51</v>
      </c>
      <c r="C15" s="6">
        <v>50</v>
      </c>
      <c r="D15" s="6">
        <v>151928.3546888319</v>
      </c>
      <c r="E15" s="6">
        <v>50</v>
      </c>
      <c r="F15" s="7">
        <f>IF(C15=0,0,B15/C15)</f>
        <v>0</v>
      </c>
      <c r="G15" s="8">
        <f>IF(E15=0,0,D15/E15)</f>
        <v>0</v>
      </c>
    </row>
    <row r="16" spans="1:7">
      <c r="A16" s="5">
        <v>45395</v>
      </c>
      <c r="B16" s="6">
        <v>49</v>
      </c>
      <c r="C16" s="6">
        <v>50</v>
      </c>
      <c r="D16" s="6">
        <v>123715.368260891</v>
      </c>
      <c r="E16" s="6">
        <v>50</v>
      </c>
      <c r="F16" s="7">
        <f>IF(C16=0,0,B16/C16)</f>
        <v>0</v>
      </c>
      <c r="G16" s="8">
        <f>IF(E16=0,0,D16/E16)</f>
        <v>0</v>
      </c>
    </row>
    <row r="17" spans="1:7">
      <c r="A17" s="5">
        <v>45396</v>
      </c>
      <c r="B17" s="6">
        <v>49</v>
      </c>
      <c r="C17" s="6">
        <v>50</v>
      </c>
      <c r="D17" s="6">
        <v>155894.2600211748</v>
      </c>
      <c r="E17" s="6">
        <v>50</v>
      </c>
      <c r="F17" s="7">
        <f>IF(C17=0,0,B17/C17)</f>
        <v>0</v>
      </c>
      <c r="G17" s="8">
        <f>IF(E17=0,0,D17/E17)</f>
        <v>0</v>
      </c>
    </row>
    <row r="18" spans="1:7">
      <c r="A18" s="5">
        <v>45397</v>
      </c>
      <c r="B18" s="6">
        <v>48</v>
      </c>
      <c r="C18" s="6">
        <v>50</v>
      </c>
      <c r="D18" s="6">
        <v>147811.0241386101</v>
      </c>
      <c r="E18" s="6">
        <v>50</v>
      </c>
      <c r="F18" s="7">
        <f>IF(C18=0,0,B18/C18)</f>
        <v>0</v>
      </c>
      <c r="G18" s="8">
        <f>IF(E18=0,0,D18/E18)</f>
        <v>0</v>
      </c>
    </row>
    <row r="19" spans="1:7">
      <c r="A19" s="5">
        <v>45398</v>
      </c>
      <c r="B19" s="6">
        <v>48</v>
      </c>
      <c r="C19" s="6">
        <v>50</v>
      </c>
      <c r="D19" s="6">
        <v>130503.9773856703</v>
      </c>
      <c r="E19" s="6">
        <v>50</v>
      </c>
      <c r="F19" s="7">
        <f>IF(C19=0,0,B19/C19)</f>
        <v>0</v>
      </c>
      <c r="G19" s="8">
        <f>IF(E19=0,0,D19/E19)</f>
        <v>0</v>
      </c>
    </row>
    <row r="20" spans="1:7">
      <c r="A20" s="5">
        <v>45399</v>
      </c>
      <c r="B20" s="6">
        <v>48</v>
      </c>
      <c r="C20" s="6">
        <v>50</v>
      </c>
      <c r="D20" s="6">
        <v>124480.301991924</v>
      </c>
      <c r="E20" s="6">
        <v>50</v>
      </c>
      <c r="F20" s="7">
        <f>IF(C20=0,0,B20/C20)</f>
        <v>0</v>
      </c>
      <c r="G20" s="8">
        <f>IF(E20=0,0,D20/E20)</f>
        <v>0</v>
      </c>
    </row>
    <row r="21" spans="1:7">
      <c r="A21" s="5">
        <v>45400</v>
      </c>
      <c r="B21" s="6">
        <v>49</v>
      </c>
      <c r="C21" s="6">
        <v>50</v>
      </c>
      <c r="D21" s="6">
        <v>171249.4529074963</v>
      </c>
      <c r="E21" s="6">
        <v>50</v>
      </c>
      <c r="F21" s="7">
        <f>IF(C21=0,0,B21/C21)</f>
        <v>0</v>
      </c>
      <c r="G21" s="8">
        <f>IF(E21=0,0,D21/E21)</f>
        <v>0</v>
      </c>
    </row>
    <row r="22" spans="1:7">
      <c r="A22" s="5">
        <v>45401</v>
      </c>
      <c r="B22" s="6">
        <v>48</v>
      </c>
      <c r="C22" s="6">
        <v>50</v>
      </c>
      <c r="D22" s="6">
        <v>125767.1526647485</v>
      </c>
      <c r="E22" s="6">
        <v>50</v>
      </c>
      <c r="F22" s="7">
        <f>IF(C22=0,0,B22/C22)</f>
        <v>0</v>
      </c>
      <c r="G22" s="8">
        <f>IF(E22=0,0,D22/E22)</f>
        <v>0</v>
      </c>
    </row>
    <row r="23" spans="1:7">
      <c r="A23" s="5">
        <v>45402</v>
      </c>
      <c r="B23" s="6">
        <v>50</v>
      </c>
      <c r="C23" s="6">
        <v>50</v>
      </c>
      <c r="D23" s="6">
        <v>140484.9904837431</v>
      </c>
      <c r="E23" s="6">
        <v>50</v>
      </c>
      <c r="F23" s="7">
        <f>IF(C23=0,0,B23/C23)</f>
        <v>0</v>
      </c>
      <c r="G23" s="8">
        <f>IF(E23=0,0,D23/E23)</f>
        <v>0</v>
      </c>
    </row>
    <row r="24" spans="1:7">
      <c r="A24" s="5">
        <v>45403</v>
      </c>
      <c r="B24" s="6">
        <v>49</v>
      </c>
      <c r="C24" s="6">
        <v>50</v>
      </c>
      <c r="D24" s="6">
        <v>160948.5604081206</v>
      </c>
      <c r="E24" s="6">
        <v>50</v>
      </c>
      <c r="F24" s="7">
        <f>IF(C24=0,0,B24/C24)</f>
        <v>0</v>
      </c>
      <c r="G24" s="8">
        <f>IF(E24=0,0,D24/E24)</f>
        <v>0</v>
      </c>
    </row>
    <row r="25" spans="1:7">
      <c r="A25" s="5">
        <v>45404</v>
      </c>
      <c r="B25" s="6">
        <v>50</v>
      </c>
      <c r="C25" s="6">
        <v>50</v>
      </c>
      <c r="D25" s="6">
        <v>131676.2738092077</v>
      </c>
      <c r="E25" s="6">
        <v>50</v>
      </c>
      <c r="F25" s="7">
        <f>IF(C25=0,0,B25/C25)</f>
        <v>0</v>
      </c>
      <c r="G25" s="8">
        <f>IF(E25=0,0,D25/E25)</f>
        <v>0</v>
      </c>
    </row>
    <row r="26" spans="1:7">
      <c r="A26" s="5">
        <v>45405</v>
      </c>
      <c r="B26" s="6">
        <v>46</v>
      </c>
      <c r="C26" s="6">
        <v>50</v>
      </c>
      <c r="D26" s="6">
        <v>142428.5143120868</v>
      </c>
      <c r="E26" s="6">
        <v>50</v>
      </c>
      <c r="F26" s="7">
        <f>IF(C26=0,0,B26/C26)</f>
        <v>0</v>
      </c>
      <c r="G26" s="8">
        <f>IF(E26=0,0,D26/E26)</f>
        <v>0</v>
      </c>
    </row>
    <row r="27" spans="1:7">
      <c r="A27" s="5">
        <v>45406</v>
      </c>
      <c r="B27" s="6">
        <v>48</v>
      </c>
      <c r="C27" s="6">
        <v>50</v>
      </c>
      <c r="D27" s="6">
        <v>133684.4889702005</v>
      </c>
      <c r="E27" s="6">
        <v>50</v>
      </c>
      <c r="F27" s="7">
        <f>IF(C27=0,0,B27/C27)</f>
        <v>0</v>
      </c>
      <c r="G27" s="8">
        <f>IF(E27=0,0,D27/E27)</f>
        <v>0</v>
      </c>
    </row>
    <row r="28" spans="1:7">
      <c r="A28" s="5">
        <v>45407</v>
      </c>
      <c r="B28" s="6">
        <v>48</v>
      </c>
      <c r="C28" s="6">
        <v>50</v>
      </c>
      <c r="D28" s="6">
        <v>123349.2339382224</v>
      </c>
      <c r="E28" s="6">
        <v>50</v>
      </c>
      <c r="F28" s="7">
        <f>IF(C28=0,0,B28/C28)</f>
        <v>0</v>
      </c>
      <c r="G28" s="8">
        <f>IF(E28=0,0,D28/E28)</f>
        <v>0</v>
      </c>
    </row>
    <row r="29" spans="1:7">
      <c r="A29" s="5">
        <v>45408</v>
      </c>
      <c r="B29" s="6">
        <v>53</v>
      </c>
      <c r="C29" s="6">
        <v>50</v>
      </c>
      <c r="D29" s="6">
        <v>163768.0674547563</v>
      </c>
      <c r="E29" s="6">
        <v>50</v>
      </c>
      <c r="F29" s="7">
        <f>IF(C29=0,0,B29/C29)</f>
        <v>0</v>
      </c>
      <c r="G29" s="8">
        <f>IF(E29=0,0,D29/E29)</f>
        <v>0</v>
      </c>
    </row>
    <row r="30" spans="1:7">
      <c r="A30" s="5">
        <v>45409</v>
      </c>
      <c r="B30" s="6">
        <v>49</v>
      </c>
      <c r="C30" s="6">
        <v>50</v>
      </c>
      <c r="D30" s="6">
        <v>129461.2559964754</v>
      </c>
      <c r="E30" s="6">
        <v>50</v>
      </c>
      <c r="F30" s="7">
        <f>IF(C30=0,0,B30/C30)</f>
        <v>0</v>
      </c>
      <c r="G30" s="8">
        <f>IF(E30=0,0,D30/E30)</f>
        <v>0</v>
      </c>
    </row>
    <row r="31" spans="1:7">
      <c r="A31" s="5">
        <v>45410</v>
      </c>
      <c r="B31" s="6">
        <v>53</v>
      </c>
      <c r="C31" s="6">
        <v>50</v>
      </c>
      <c r="D31" s="6">
        <v>145632.6933778401</v>
      </c>
      <c r="E31" s="6">
        <v>50</v>
      </c>
      <c r="F31" s="7">
        <f>IF(C31=0,0,B31/C31)</f>
        <v>0</v>
      </c>
      <c r="G31" s="8">
        <f>IF(E31=0,0,D31/E31)</f>
        <v>0</v>
      </c>
    </row>
    <row r="32" spans="1:7">
      <c r="A32" s="5">
        <v>45411</v>
      </c>
      <c r="B32" s="6">
        <v>45</v>
      </c>
      <c r="C32" s="6">
        <v>50</v>
      </c>
      <c r="D32" s="6">
        <v>135942.736917843</v>
      </c>
      <c r="E32" s="6">
        <v>50</v>
      </c>
      <c r="F32" s="7">
        <f>IF(C32=0,0,B32/C32)</f>
        <v>0</v>
      </c>
      <c r="G32" s="8">
        <f>IF(E32=0,0,D32/E32)</f>
        <v>0</v>
      </c>
    </row>
    <row r="33" spans="1:7">
      <c r="A33" s="5">
        <v>45412</v>
      </c>
      <c r="B33" s="6">
        <v>45</v>
      </c>
      <c r="C33" s="6">
        <v>50</v>
      </c>
      <c r="D33" s="6">
        <v>145075.9743633152</v>
      </c>
      <c r="E33" s="6">
        <v>50</v>
      </c>
      <c r="F33" s="7">
        <f>IF(C33=0,0,B33/C33)</f>
        <v>0</v>
      </c>
      <c r="G33" s="8">
        <f>IF(E33=0,0,D33/E33)</f>
        <v>0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33"/>
  <sheetViews>
    <sheetView workbookViewId="0"/>
  </sheetViews>
  <sheetFormatPr defaultRowHeight="15"/>
  <cols>
    <col min="1" max="1" width="14.7109375" customWidth="1"/>
    <col min="2" max="3" width="20.7109375" customWidth="1"/>
  </cols>
  <sheetData>
    <row r="1" spans="1:3" ht="22" customHeight="1">
      <c r="A1" s="1" t="s">
        <v>21</v>
      </c>
      <c r="B1" s="1"/>
      <c r="C1" s="1"/>
    </row>
    <row r="2" spans="1:3" ht="30" customHeight="1">
      <c r="A2" s="2" t="s">
        <v>1</v>
      </c>
      <c r="B2" s="2"/>
      <c r="C2" s="2"/>
    </row>
    <row r="3" spans="1:3">
      <c r="A3" s="3" t="s">
        <v>2</v>
      </c>
      <c r="B3" s="3" t="s">
        <v>22</v>
      </c>
      <c r="C3" s="3" t="s">
        <v>23</v>
      </c>
    </row>
    <row r="4" spans="1:3">
      <c r="A4" s="5">
        <v>45383</v>
      </c>
      <c r="B4" s="6">
        <v>60</v>
      </c>
      <c r="C4" s="6">
        <v>36</v>
      </c>
    </row>
    <row r="5" spans="1:3">
      <c r="A5" s="5">
        <v>45384</v>
      </c>
      <c r="B5" s="6">
        <v>41</v>
      </c>
      <c r="C5" s="6">
        <v>42</v>
      </c>
    </row>
    <row r="6" spans="1:3">
      <c r="A6" s="5">
        <v>45385</v>
      </c>
      <c r="B6" s="6">
        <v>48</v>
      </c>
      <c r="C6" s="6">
        <v>45</v>
      </c>
    </row>
    <row r="7" spans="1:3">
      <c r="A7" s="5">
        <v>45386</v>
      </c>
      <c r="B7" s="6">
        <v>55</v>
      </c>
      <c r="C7" s="6">
        <v>49</v>
      </c>
    </row>
    <row r="8" spans="1:3">
      <c r="A8" s="5">
        <v>45387</v>
      </c>
      <c r="B8" s="6">
        <v>81</v>
      </c>
      <c r="C8" s="6">
        <v>41</v>
      </c>
    </row>
    <row r="9" spans="1:3">
      <c r="A9" s="5">
        <v>45388</v>
      </c>
      <c r="B9" s="6">
        <v>62</v>
      </c>
      <c r="C9" s="6">
        <v>41</v>
      </c>
    </row>
    <row r="10" spans="1:3">
      <c r="A10" s="5">
        <v>45389</v>
      </c>
      <c r="B10" s="6">
        <v>61</v>
      </c>
      <c r="C10" s="6">
        <v>41</v>
      </c>
    </row>
    <row r="11" spans="1:3">
      <c r="A11" s="5">
        <v>45390</v>
      </c>
      <c r="B11" s="6">
        <v>76</v>
      </c>
      <c r="C11" s="6">
        <v>52</v>
      </c>
    </row>
    <row r="12" spans="1:3">
      <c r="A12" s="5">
        <v>45391</v>
      </c>
      <c r="B12" s="6">
        <v>77</v>
      </c>
      <c r="C12" s="6">
        <v>40</v>
      </c>
    </row>
    <row r="13" spans="1:3">
      <c r="A13" s="5">
        <v>45392</v>
      </c>
      <c r="B13" s="6">
        <v>59</v>
      </c>
      <c r="C13" s="6">
        <v>45</v>
      </c>
    </row>
    <row r="14" spans="1:3">
      <c r="A14" s="5">
        <v>45393</v>
      </c>
      <c r="B14" s="6">
        <v>54</v>
      </c>
      <c r="C14" s="6">
        <v>50</v>
      </c>
    </row>
    <row r="15" spans="1:3">
      <c r="A15" s="5">
        <v>45394</v>
      </c>
      <c r="B15" s="6">
        <v>65</v>
      </c>
      <c r="C15" s="6">
        <v>49</v>
      </c>
    </row>
    <row r="16" spans="1:3">
      <c r="A16" s="5">
        <v>45395</v>
      </c>
      <c r="B16" s="6">
        <v>44</v>
      </c>
      <c r="C16" s="6">
        <v>39</v>
      </c>
    </row>
    <row r="17" spans="1:3">
      <c r="A17" s="5">
        <v>45396</v>
      </c>
      <c r="B17" s="6">
        <v>61</v>
      </c>
      <c r="C17" s="6">
        <v>41</v>
      </c>
    </row>
    <row r="18" spans="1:3">
      <c r="A18" s="5">
        <v>45397</v>
      </c>
      <c r="B18" s="6">
        <v>60</v>
      </c>
      <c r="C18" s="6">
        <v>48</v>
      </c>
    </row>
    <row r="19" spans="1:3">
      <c r="A19" s="5">
        <v>45398</v>
      </c>
      <c r="B19" s="6">
        <v>74</v>
      </c>
      <c r="C19" s="6">
        <v>50</v>
      </c>
    </row>
    <row r="20" spans="1:3">
      <c r="A20" s="5">
        <v>45399</v>
      </c>
      <c r="B20" s="6">
        <v>62</v>
      </c>
      <c r="C20" s="6">
        <v>48</v>
      </c>
    </row>
    <row r="21" spans="1:3">
      <c r="A21" s="5">
        <v>45400</v>
      </c>
      <c r="B21" s="6">
        <v>74</v>
      </c>
      <c r="C21" s="6">
        <v>45</v>
      </c>
    </row>
    <row r="22" spans="1:3">
      <c r="A22" s="5">
        <v>45401</v>
      </c>
      <c r="B22" s="6">
        <v>36</v>
      </c>
      <c r="C22" s="6">
        <v>44</v>
      </c>
    </row>
    <row r="23" spans="1:3">
      <c r="A23" s="5">
        <v>45402</v>
      </c>
      <c r="B23" s="6">
        <v>64</v>
      </c>
      <c r="C23" s="6">
        <v>44</v>
      </c>
    </row>
    <row r="24" spans="1:3">
      <c r="A24" s="5">
        <v>45403</v>
      </c>
      <c r="B24" s="6">
        <v>68</v>
      </c>
      <c r="C24" s="6">
        <v>47</v>
      </c>
    </row>
    <row r="25" spans="1:3">
      <c r="A25" s="5">
        <v>45404</v>
      </c>
      <c r="B25" s="6">
        <v>59</v>
      </c>
      <c r="C25" s="6">
        <v>40</v>
      </c>
    </row>
    <row r="26" spans="1:3">
      <c r="A26" s="5">
        <v>45405</v>
      </c>
      <c r="B26" s="6">
        <v>46</v>
      </c>
      <c r="C26" s="6">
        <v>45</v>
      </c>
    </row>
    <row r="27" spans="1:3">
      <c r="A27" s="5">
        <v>45406</v>
      </c>
      <c r="B27" s="6">
        <v>72</v>
      </c>
      <c r="C27" s="6">
        <v>49</v>
      </c>
    </row>
    <row r="28" spans="1:3">
      <c r="A28" s="5">
        <v>45407</v>
      </c>
      <c r="B28" s="6">
        <v>77</v>
      </c>
      <c r="C28" s="6">
        <v>48</v>
      </c>
    </row>
    <row r="29" spans="1:3">
      <c r="A29" s="5">
        <v>45408</v>
      </c>
      <c r="B29" s="6">
        <v>59</v>
      </c>
      <c r="C29" s="6">
        <v>38</v>
      </c>
    </row>
    <row r="30" spans="1:3">
      <c r="A30" s="5">
        <v>45409</v>
      </c>
      <c r="B30" s="6">
        <v>70</v>
      </c>
      <c r="C30" s="6">
        <v>50</v>
      </c>
    </row>
    <row r="31" spans="1:3">
      <c r="A31" s="5">
        <v>45410</v>
      </c>
      <c r="B31" s="6">
        <v>56</v>
      </c>
      <c r="C31" s="6">
        <v>40</v>
      </c>
    </row>
    <row r="32" spans="1:3">
      <c r="A32" s="5">
        <v>45411</v>
      </c>
      <c r="B32" s="6">
        <v>45</v>
      </c>
      <c r="C32" s="6">
        <v>53</v>
      </c>
    </row>
    <row r="33" spans="1:3">
      <c r="A33" s="5">
        <v>45412</v>
      </c>
      <c r="B33" s="6">
        <v>69</v>
      </c>
      <c r="C33" s="6">
        <v>43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H33"/>
  <sheetViews>
    <sheetView workbookViewId="0"/>
  </sheetViews>
  <sheetFormatPr defaultRowHeight="15"/>
  <cols>
    <col min="1" max="1" width="14.7109375" customWidth="1"/>
    <col min="2" max="3" width="20.7109375" customWidth="1"/>
    <col min="4" max="5" width="16.7109375" customWidth="1"/>
    <col min="6" max="6" width="18.7109375" customWidth="1"/>
    <col min="7" max="7" width="16.7109375" customWidth="1"/>
    <col min="8" max="8" width="22.7109375" customWidth="1"/>
  </cols>
  <sheetData>
    <row r="1" spans="1:8" ht="22" customHeight="1">
      <c r="A1" s="1" t="s">
        <v>24</v>
      </c>
      <c r="B1" s="1"/>
      <c r="C1" s="1"/>
      <c r="D1" s="1"/>
      <c r="E1" s="1"/>
      <c r="F1" s="1"/>
      <c r="G1" s="1"/>
      <c r="H1" s="1"/>
    </row>
    <row r="2" spans="1:8" ht="3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>
      <c r="A3" s="3" t="s">
        <v>2</v>
      </c>
      <c r="B3" s="3" t="s">
        <v>25</v>
      </c>
      <c r="C3" s="3" t="s">
        <v>26</v>
      </c>
      <c r="D3" s="3" t="s">
        <v>27</v>
      </c>
      <c r="E3" s="3" t="s">
        <v>28</v>
      </c>
      <c r="F3" s="3" t="s">
        <v>11</v>
      </c>
      <c r="G3" s="3" t="s">
        <v>10</v>
      </c>
      <c r="H3" s="4" t="s">
        <v>29</v>
      </c>
    </row>
    <row r="4" spans="1:8">
      <c r="A4" s="5">
        <v>45383</v>
      </c>
      <c r="B4" s="6">
        <v>48</v>
      </c>
      <c r="C4" s="6">
        <v>50</v>
      </c>
      <c r="D4" s="6">
        <v>50</v>
      </c>
      <c r="E4" s="6">
        <v>50</v>
      </c>
      <c r="F4" s="6">
        <v>0</v>
      </c>
      <c r="G4" s="6">
        <v>50</v>
      </c>
      <c r="H4" s="7">
        <f>IF(OR(C4=0,E4=0,G4=0),0,((B4/C4)*0.4+(D4/E4)*0.3+(1-F4/G4)*0.2)/0.9)</f>
        <v>0</v>
      </c>
    </row>
    <row r="5" spans="1:8">
      <c r="A5" s="5">
        <v>45384</v>
      </c>
      <c r="B5" s="6">
        <v>45</v>
      </c>
      <c r="C5" s="6">
        <v>50</v>
      </c>
      <c r="D5" s="6">
        <v>47</v>
      </c>
      <c r="E5" s="6">
        <v>50</v>
      </c>
      <c r="F5" s="6">
        <v>2</v>
      </c>
      <c r="G5" s="6">
        <v>50</v>
      </c>
      <c r="H5" s="7">
        <f>IF(OR(C5=0,E5=0,G5=0),0,((B5/C5)*0.4+(D5/E5)*0.3+(1-F5/G5)*0.2)/0.9)</f>
        <v>0</v>
      </c>
    </row>
    <row r="6" spans="1:8">
      <c r="A6" s="5">
        <v>45385</v>
      </c>
      <c r="B6" s="6">
        <v>42</v>
      </c>
      <c r="C6" s="6">
        <v>50</v>
      </c>
      <c r="D6" s="6">
        <v>50</v>
      </c>
      <c r="E6" s="6">
        <v>50</v>
      </c>
      <c r="F6" s="6">
        <v>0</v>
      </c>
      <c r="G6" s="6">
        <v>50</v>
      </c>
      <c r="H6" s="7">
        <f>IF(OR(C6=0,E6=0,G6=0),0,((B6/C6)*0.4+(D6/E6)*0.3+(1-F6/G6)*0.2)/0.9)</f>
        <v>0</v>
      </c>
    </row>
    <row r="7" spans="1:8">
      <c r="A7" s="5">
        <v>45386</v>
      </c>
      <c r="B7" s="6">
        <v>39</v>
      </c>
      <c r="C7" s="6">
        <v>50</v>
      </c>
      <c r="D7" s="6">
        <v>46</v>
      </c>
      <c r="E7" s="6">
        <v>50</v>
      </c>
      <c r="F7" s="6">
        <v>1</v>
      </c>
      <c r="G7" s="6">
        <v>50</v>
      </c>
      <c r="H7" s="7">
        <f>IF(OR(C7=0,E7=0,G7=0),0,((B7/C7)*0.4+(D7/E7)*0.3+(1-F7/G7)*0.2)/0.9)</f>
        <v>0</v>
      </c>
    </row>
    <row r="8" spans="1:8">
      <c r="A8" s="5">
        <v>45387</v>
      </c>
      <c r="B8" s="6">
        <v>40</v>
      </c>
      <c r="C8" s="6">
        <v>50</v>
      </c>
      <c r="D8" s="6">
        <v>47</v>
      </c>
      <c r="E8" s="6">
        <v>50</v>
      </c>
      <c r="F8" s="6">
        <v>0</v>
      </c>
      <c r="G8" s="6">
        <v>50</v>
      </c>
      <c r="H8" s="7">
        <f>IF(OR(C8=0,E8=0,G8=0),0,((B8/C8)*0.4+(D8/E8)*0.3+(1-F8/G8)*0.2)/0.9)</f>
        <v>0</v>
      </c>
    </row>
    <row r="9" spans="1:8">
      <c r="A9" s="5">
        <v>45388</v>
      </c>
      <c r="B9" s="6">
        <v>45</v>
      </c>
      <c r="C9" s="6">
        <v>50</v>
      </c>
      <c r="D9" s="6">
        <v>47</v>
      </c>
      <c r="E9" s="6">
        <v>50</v>
      </c>
      <c r="F9" s="6">
        <v>1</v>
      </c>
      <c r="G9" s="6">
        <v>50</v>
      </c>
      <c r="H9" s="7">
        <f>IF(OR(C9=0,E9=0,G9=0),0,((B9/C9)*0.4+(D9/E9)*0.3+(1-F9/G9)*0.2)/0.9)</f>
        <v>0</v>
      </c>
    </row>
    <row r="10" spans="1:8">
      <c r="A10" s="5">
        <v>45389</v>
      </c>
      <c r="B10" s="6">
        <v>44</v>
      </c>
      <c r="C10" s="6">
        <v>50</v>
      </c>
      <c r="D10" s="6">
        <v>48</v>
      </c>
      <c r="E10" s="6">
        <v>50</v>
      </c>
      <c r="F10" s="6">
        <v>2</v>
      </c>
      <c r="G10" s="6">
        <v>50</v>
      </c>
      <c r="H10" s="7">
        <f>IF(OR(C10=0,E10=0,G10=0),0,((B10/C10)*0.4+(D10/E10)*0.3+(1-F10/G10)*0.2)/0.9)</f>
        <v>0</v>
      </c>
    </row>
    <row r="11" spans="1:8">
      <c r="A11" s="5">
        <v>45390</v>
      </c>
      <c r="B11" s="6">
        <v>45</v>
      </c>
      <c r="C11" s="6">
        <v>50</v>
      </c>
      <c r="D11" s="6">
        <v>52</v>
      </c>
      <c r="E11" s="6">
        <v>50</v>
      </c>
      <c r="F11" s="6">
        <v>1</v>
      </c>
      <c r="G11" s="6">
        <v>50</v>
      </c>
      <c r="H11" s="7">
        <f>IF(OR(C11=0,E11=0,G11=0),0,((B11/C11)*0.4+(D11/E11)*0.3+(1-F11/G11)*0.2)/0.9)</f>
        <v>0</v>
      </c>
    </row>
    <row r="12" spans="1:8">
      <c r="A12" s="5">
        <v>45391</v>
      </c>
      <c r="B12" s="6">
        <v>41</v>
      </c>
      <c r="C12" s="6">
        <v>50</v>
      </c>
      <c r="D12" s="6">
        <v>50</v>
      </c>
      <c r="E12" s="6">
        <v>50</v>
      </c>
      <c r="F12" s="6">
        <v>1</v>
      </c>
      <c r="G12" s="6">
        <v>50</v>
      </c>
      <c r="H12" s="7">
        <f>IF(OR(C12=0,E12=0,G12=0),0,((B12/C12)*0.4+(D12/E12)*0.3+(1-F12/G12)*0.2)/0.9)</f>
        <v>0</v>
      </c>
    </row>
    <row r="13" spans="1:8">
      <c r="A13" s="5">
        <v>45392</v>
      </c>
      <c r="B13" s="6">
        <v>52</v>
      </c>
      <c r="C13" s="6">
        <v>50</v>
      </c>
      <c r="D13" s="6">
        <v>46</v>
      </c>
      <c r="E13" s="6">
        <v>50</v>
      </c>
      <c r="F13" s="6">
        <v>0</v>
      </c>
      <c r="G13" s="6">
        <v>50</v>
      </c>
      <c r="H13" s="7">
        <f>IF(OR(C13=0,E13=0,G13=0),0,((B13/C13)*0.4+(D13/E13)*0.3+(1-F13/G13)*0.2)/0.9)</f>
        <v>0</v>
      </c>
    </row>
    <row r="14" spans="1:8">
      <c r="A14" s="5">
        <v>45393</v>
      </c>
      <c r="B14" s="6">
        <v>47</v>
      </c>
      <c r="C14" s="6">
        <v>50</v>
      </c>
      <c r="D14" s="6">
        <v>46</v>
      </c>
      <c r="E14" s="6">
        <v>50</v>
      </c>
      <c r="F14" s="6">
        <v>1</v>
      </c>
      <c r="G14" s="6">
        <v>50</v>
      </c>
      <c r="H14" s="7">
        <f>IF(OR(C14=0,E14=0,G14=0),0,((B14/C14)*0.4+(D14/E14)*0.3+(1-F14/G14)*0.2)/0.9)</f>
        <v>0</v>
      </c>
    </row>
    <row r="15" spans="1:8">
      <c r="A15" s="5">
        <v>45394</v>
      </c>
      <c r="B15" s="6">
        <v>42</v>
      </c>
      <c r="C15" s="6">
        <v>50</v>
      </c>
      <c r="D15" s="6">
        <v>36</v>
      </c>
      <c r="E15" s="6">
        <v>50</v>
      </c>
      <c r="F15" s="6">
        <v>0</v>
      </c>
      <c r="G15" s="6">
        <v>50</v>
      </c>
      <c r="H15" s="7">
        <f>IF(OR(C15=0,E15=0,G15=0),0,((B15/C15)*0.4+(D15/E15)*0.3+(1-F15/G15)*0.2)/0.9)</f>
        <v>0</v>
      </c>
    </row>
    <row r="16" spans="1:8">
      <c r="A16" s="5">
        <v>45395</v>
      </c>
      <c r="B16" s="6">
        <v>41</v>
      </c>
      <c r="C16" s="6">
        <v>50</v>
      </c>
      <c r="D16" s="6">
        <v>43</v>
      </c>
      <c r="E16" s="6">
        <v>50</v>
      </c>
      <c r="F16" s="6">
        <v>0</v>
      </c>
      <c r="G16" s="6">
        <v>50</v>
      </c>
      <c r="H16" s="7">
        <f>IF(OR(C16=0,E16=0,G16=0),0,((B16/C16)*0.4+(D16/E16)*0.3+(1-F16/G16)*0.2)/0.9)</f>
        <v>0</v>
      </c>
    </row>
    <row r="17" spans="1:8">
      <c r="A17" s="5">
        <v>45396</v>
      </c>
      <c r="B17" s="6">
        <v>45</v>
      </c>
      <c r="C17" s="6">
        <v>50</v>
      </c>
      <c r="D17" s="6">
        <v>39</v>
      </c>
      <c r="E17" s="6">
        <v>50</v>
      </c>
      <c r="F17" s="6">
        <v>0</v>
      </c>
      <c r="G17" s="6">
        <v>50</v>
      </c>
      <c r="H17" s="7">
        <f>IF(OR(C17=0,E17=0,G17=0),0,((B17/C17)*0.4+(D17/E17)*0.3+(1-F17/G17)*0.2)/0.9)</f>
        <v>0</v>
      </c>
    </row>
    <row r="18" spans="1:8">
      <c r="A18" s="5">
        <v>45397</v>
      </c>
      <c r="B18" s="6">
        <v>41</v>
      </c>
      <c r="C18" s="6">
        <v>50</v>
      </c>
      <c r="D18" s="6">
        <v>46</v>
      </c>
      <c r="E18" s="6">
        <v>50</v>
      </c>
      <c r="F18" s="6">
        <v>1</v>
      </c>
      <c r="G18" s="6">
        <v>50</v>
      </c>
      <c r="H18" s="7">
        <f>IF(OR(C18=0,E18=0,G18=0),0,((B18/C18)*0.4+(D18/E18)*0.3+(1-F18/G18)*0.2)/0.9)</f>
        <v>0</v>
      </c>
    </row>
    <row r="19" spans="1:8">
      <c r="A19" s="5">
        <v>45398</v>
      </c>
      <c r="B19" s="6">
        <v>45</v>
      </c>
      <c r="C19" s="6">
        <v>50</v>
      </c>
      <c r="D19" s="6">
        <v>44</v>
      </c>
      <c r="E19" s="6">
        <v>50</v>
      </c>
      <c r="F19" s="6">
        <v>0</v>
      </c>
      <c r="G19" s="6">
        <v>50</v>
      </c>
      <c r="H19" s="7">
        <f>IF(OR(C19=0,E19=0,G19=0),0,((B19/C19)*0.4+(D19/E19)*0.3+(1-F19/G19)*0.2)/0.9)</f>
        <v>0</v>
      </c>
    </row>
    <row r="20" spans="1:8">
      <c r="A20" s="5">
        <v>45399</v>
      </c>
      <c r="B20" s="6">
        <v>48</v>
      </c>
      <c r="C20" s="6">
        <v>50</v>
      </c>
      <c r="D20" s="6">
        <v>44</v>
      </c>
      <c r="E20" s="6">
        <v>50</v>
      </c>
      <c r="F20" s="6">
        <v>1</v>
      </c>
      <c r="G20" s="6">
        <v>50</v>
      </c>
      <c r="H20" s="7">
        <f>IF(OR(C20=0,E20=0,G20=0),0,((B20/C20)*0.4+(D20/E20)*0.3+(1-F20/G20)*0.2)/0.9)</f>
        <v>0</v>
      </c>
    </row>
    <row r="21" spans="1:8">
      <c r="A21" s="5">
        <v>45400</v>
      </c>
      <c r="B21" s="6">
        <v>48</v>
      </c>
      <c r="C21" s="6">
        <v>50</v>
      </c>
      <c r="D21" s="6">
        <v>39</v>
      </c>
      <c r="E21" s="6">
        <v>50</v>
      </c>
      <c r="F21" s="6">
        <v>2</v>
      </c>
      <c r="G21" s="6">
        <v>50</v>
      </c>
      <c r="H21" s="7">
        <f>IF(OR(C21=0,E21=0,G21=0),0,((B21/C21)*0.4+(D21/E21)*0.3+(1-F21/G21)*0.2)/0.9)</f>
        <v>0</v>
      </c>
    </row>
    <row r="22" spans="1:8">
      <c r="A22" s="5">
        <v>45401</v>
      </c>
      <c r="B22" s="6">
        <v>54</v>
      </c>
      <c r="C22" s="6">
        <v>50</v>
      </c>
      <c r="D22" s="6">
        <v>44</v>
      </c>
      <c r="E22" s="6">
        <v>50</v>
      </c>
      <c r="F22" s="6">
        <v>0</v>
      </c>
      <c r="G22" s="6">
        <v>50</v>
      </c>
      <c r="H22" s="7">
        <f>IF(OR(C22=0,E22=0,G22=0),0,((B22/C22)*0.4+(D22/E22)*0.3+(1-F22/G22)*0.2)/0.9)</f>
        <v>0</v>
      </c>
    </row>
    <row r="23" spans="1:8">
      <c r="A23" s="5">
        <v>45402</v>
      </c>
      <c r="B23" s="6">
        <v>50</v>
      </c>
      <c r="C23" s="6">
        <v>50</v>
      </c>
      <c r="D23" s="6">
        <v>45</v>
      </c>
      <c r="E23" s="6">
        <v>50</v>
      </c>
      <c r="F23" s="6">
        <v>0</v>
      </c>
      <c r="G23" s="6">
        <v>50</v>
      </c>
      <c r="H23" s="7">
        <f>IF(OR(C23=0,E23=0,G23=0),0,((B23/C23)*0.4+(D23/E23)*0.3+(1-F23/G23)*0.2)/0.9)</f>
        <v>0</v>
      </c>
    </row>
    <row r="24" spans="1:8">
      <c r="A24" s="5">
        <v>45403</v>
      </c>
      <c r="B24" s="6">
        <v>42</v>
      </c>
      <c r="C24" s="6">
        <v>50</v>
      </c>
      <c r="D24" s="6">
        <v>48</v>
      </c>
      <c r="E24" s="6">
        <v>50</v>
      </c>
      <c r="F24" s="6">
        <v>2</v>
      </c>
      <c r="G24" s="6">
        <v>50</v>
      </c>
      <c r="H24" s="7">
        <f>IF(OR(C24=0,E24=0,G24=0),0,((B24/C24)*0.4+(D24/E24)*0.3+(1-F24/G24)*0.2)/0.9)</f>
        <v>0</v>
      </c>
    </row>
    <row r="25" spans="1:8">
      <c r="A25" s="5">
        <v>45404</v>
      </c>
      <c r="B25" s="6">
        <v>39</v>
      </c>
      <c r="C25" s="6">
        <v>50</v>
      </c>
      <c r="D25" s="6">
        <v>43</v>
      </c>
      <c r="E25" s="6">
        <v>50</v>
      </c>
      <c r="F25" s="6">
        <v>0</v>
      </c>
      <c r="G25" s="6">
        <v>50</v>
      </c>
      <c r="H25" s="7">
        <f>IF(OR(C25=0,E25=0,G25=0),0,((B25/C25)*0.4+(D25/E25)*0.3+(1-F25/G25)*0.2)/0.9)</f>
        <v>0</v>
      </c>
    </row>
    <row r="26" spans="1:8">
      <c r="A26" s="5">
        <v>45405</v>
      </c>
      <c r="B26" s="6">
        <v>33</v>
      </c>
      <c r="C26" s="6">
        <v>50</v>
      </c>
      <c r="D26" s="6">
        <v>35</v>
      </c>
      <c r="E26" s="6">
        <v>50</v>
      </c>
      <c r="F26" s="6">
        <v>2</v>
      </c>
      <c r="G26" s="6">
        <v>50</v>
      </c>
      <c r="H26" s="7">
        <f>IF(OR(C26=0,E26=0,G26=0),0,((B26/C26)*0.4+(D26/E26)*0.3+(1-F26/G26)*0.2)/0.9)</f>
        <v>0</v>
      </c>
    </row>
    <row r="27" spans="1:8">
      <c r="A27" s="5">
        <v>45406</v>
      </c>
      <c r="B27" s="6">
        <v>41</v>
      </c>
      <c r="C27" s="6">
        <v>50</v>
      </c>
      <c r="D27" s="6">
        <v>44</v>
      </c>
      <c r="E27" s="6">
        <v>50</v>
      </c>
      <c r="F27" s="6">
        <v>1</v>
      </c>
      <c r="G27" s="6">
        <v>50</v>
      </c>
      <c r="H27" s="7">
        <f>IF(OR(C27=0,E27=0,G27=0),0,((B27/C27)*0.4+(D27/E27)*0.3+(1-F27/G27)*0.2)/0.9)</f>
        <v>0</v>
      </c>
    </row>
    <row r="28" spans="1:8">
      <c r="A28" s="5">
        <v>45407</v>
      </c>
      <c r="B28" s="6">
        <v>47</v>
      </c>
      <c r="C28" s="6">
        <v>50</v>
      </c>
      <c r="D28" s="6">
        <v>49</v>
      </c>
      <c r="E28" s="6">
        <v>50</v>
      </c>
      <c r="F28" s="6">
        <v>1</v>
      </c>
      <c r="G28" s="6">
        <v>50</v>
      </c>
      <c r="H28" s="7">
        <f>IF(OR(C28=0,E28=0,G28=0),0,((B28/C28)*0.4+(D28/E28)*0.3+(1-F28/G28)*0.2)/0.9)</f>
        <v>0</v>
      </c>
    </row>
    <row r="29" spans="1:8">
      <c r="A29" s="5">
        <v>45408</v>
      </c>
      <c r="B29" s="6">
        <v>44</v>
      </c>
      <c r="C29" s="6">
        <v>50</v>
      </c>
      <c r="D29" s="6">
        <v>45</v>
      </c>
      <c r="E29" s="6">
        <v>50</v>
      </c>
      <c r="F29" s="6">
        <v>1</v>
      </c>
      <c r="G29" s="6">
        <v>50</v>
      </c>
      <c r="H29" s="7">
        <f>IF(OR(C29=0,E29=0,G29=0),0,((B29/C29)*0.4+(D29/E29)*0.3+(1-F29/G29)*0.2)/0.9)</f>
        <v>0</v>
      </c>
    </row>
    <row r="30" spans="1:8">
      <c r="A30" s="5">
        <v>45409</v>
      </c>
      <c r="B30" s="6">
        <v>47</v>
      </c>
      <c r="C30" s="6">
        <v>50</v>
      </c>
      <c r="D30" s="6">
        <v>44</v>
      </c>
      <c r="E30" s="6">
        <v>50</v>
      </c>
      <c r="F30" s="6">
        <v>1</v>
      </c>
      <c r="G30" s="6">
        <v>50</v>
      </c>
      <c r="H30" s="7">
        <f>IF(OR(C30=0,E30=0,G30=0),0,((B30/C30)*0.4+(D30/E30)*0.3+(1-F30/G30)*0.2)/0.9)</f>
        <v>0</v>
      </c>
    </row>
    <row r="31" spans="1:8">
      <c r="A31" s="5">
        <v>45410</v>
      </c>
      <c r="B31" s="6">
        <v>34</v>
      </c>
      <c r="C31" s="6">
        <v>50</v>
      </c>
      <c r="D31" s="6">
        <v>46</v>
      </c>
      <c r="E31" s="6">
        <v>50</v>
      </c>
      <c r="F31" s="6">
        <v>1</v>
      </c>
      <c r="G31" s="6">
        <v>50</v>
      </c>
      <c r="H31" s="7">
        <f>IF(OR(C31=0,E31=0,G31=0),0,((B31/C31)*0.4+(D31/E31)*0.3+(1-F31/G31)*0.2)/0.9)</f>
        <v>0</v>
      </c>
    </row>
    <row r="32" spans="1:8">
      <c r="A32" s="5">
        <v>45411</v>
      </c>
      <c r="B32" s="6">
        <v>45</v>
      </c>
      <c r="C32" s="6">
        <v>50</v>
      </c>
      <c r="D32" s="6">
        <v>41</v>
      </c>
      <c r="E32" s="6">
        <v>50</v>
      </c>
      <c r="F32" s="6">
        <v>3</v>
      </c>
      <c r="G32" s="6">
        <v>50</v>
      </c>
      <c r="H32" s="7">
        <f>IF(OR(C32=0,E32=0,G32=0),0,((B32/C32)*0.4+(D32/E32)*0.3+(1-F32/G32)*0.2)/0.9)</f>
        <v>0</v>
      </c>
    </row>
    <row r="33" spans="1:8">
      <c r="A33" s="5">
        <v>45412</v>
      </c>
      <c r="B33" s="6">
        <v>36</v>
      </c>
      <c r="C33" s="6">
        <v>50</v>
      </c>
      <c r="D33" s="6">
        <v>54</v>
      </c>
      <c r="E33" s="6">
        <v>50</v>
      </c>
      <c r="F33" s="6">
        <v>2</v>
      </c>
      <c r="G33" s="6">
        <v>50</v>
      </c>
      <c r="H33" s="7">
        <f>IF(OR(C33=0,E33=0,G33=0),0,((B33/C33)*0.4+(D33/E33)*0.3+(1-F33/G33)*0.2)/0.9)</f>
        <v>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cols>
    <col min="1" max="1" width="18.7109375" customWidth="1"/>
    <col min="2" max="3" width="24.7109375" customWidth="1"/>
    <col min="4" max="4" width="18.7109375" customWidth="1"/>
    <col min="5" max="5" width="16.7109375" customWidth="1"/>
    <col min="6" max="6" width="22.7109375" customWidth="1"/>
  </cols>
  <sheetData>
    <row r="1" spans="1:6" ht="22" customHeight="1">
      <c r="A1" s="1" t="s">
        <v>30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>
      <c r="A3" s="3" t="s">
        <v>31</v>
      </c>
      <c r="B3" s="3" t="s">
        <v>32</v>
      </c>
      <c r="C3" s="3" t="s">
        <v>33</v>
      </c>
      <c r="D3" s="3" t="s">
        <v>9</v>
      </c>
      <c r="E3" s="3" t="s">
        <v>10</v>
      </c>
      <c r="F3" s="4" t="s">
        <v>34</v>
      </c>
    </row>
    <row r="4" spans="1:6">
      <c r="A4" s="5">
        <v>45383</v>
      </c>
      <c r="B4" s="6">
        <v>3238257.159042964</v>
      </c>
      <c r="C4" s="6">
        <v>3131497.929987604</v>
      </c>
      <c r="D4" s="6">
        <v>48</v>
      </c>
      <c r="E4" s="6">
        <v>50</v>
      </c>
      <c r="F4" s="7">
        <f>IF(C4=0,0,B4/C4)</f>
        <v>0</v>
      </c>
    </row>
    <row r="5" spans="1:6">
      <c r="A5" s="5">
        <v>45390</v>
      </c>
      <c r="B5" s="6">
        <v>2917084.534808845</v>
      </c>
      <c r="C5" s="6">
        <v>3372974.145050123</v>
      </c>
      <c r="D5" s="6">
        <v>48</v>
      </c>
      <c r="E5" s="6">
        <v>50</v>
      </c>
      <c r="F5" s="7">
        <f>IF(C5=0,0,B5/C5)</f>
        <v>0</v>
      </c>
    </row>
    <row r="6" spans="1:6">
      <c r="A6" s="5">
        <v>45397</v>
      </c>
      <c r="B6" s="6">
        <v>2818331.051537474</v>
      </c>
      <c r="C6" s="6">
        <v>3397245.262051845</v>
      </c>
      <c r="D6" s="6">
        <v>51</v>
      </c>
      <c r="E6" s="6">
        <v>50</v>
      </c>
      <c r="F6" s="7">
        <f>IF(C6=0,0,B6/C6)</f>
        <v>0</v>
      </c>
    </row>
    <row r="7" spans="1:6">
      <c r="A7" s="5">
        <v>45404</v>
      </c>
      <c r="B7" s="6">
        <v>3283139.469280188</v>
      </c>
      <c r="C7" s="6">
        <v>3173262.563011147</v>
      </c>
      <c r="D7" s="6">
        <v>50</v>
      </c>
      <c r="E7" s="6">
        <v>50</v>
      </c>
      <c r="F7" s="7">
        <f>IF(C7=0,0,B7/C7)</f>
        <v>0</v>
      </c>
    </row>
    <row r="8" spans="1:6">
      <c r="A8" s="5">
        <v>45411</v>
      </c>
      <c r="B8" s="6">
        <v>3050396.331591571</v>
      </c>
      <c r="C8" s="6">
        <v>3174083.861048212</v>
      </c>
      <c r="D8" s="6">
        <v>48</v>
      </c>
      <c r="E8" s="6">
        <v>50</v>
      </c>
      <c r="F8" s="7">
        <f>IF(C8=0,0,B8/C8)</f>
        <v>0</v>
      </c>
    </row>
    <row r="9" spans="1:6">
      <c r="A9" s="5">
        <v>45418</v>
      </c>
      <c r="B9" s="6">
        <v>2909220.499841645</v>
      </c>
      <c r="C9" s="6">
        <v>3121196.287438689</v>
      </c>
      <c r="D9" s="6">
        <v>48</v>
      </c>
      <c r="E9" s="6">
        <v>50</v>
      </c>
      <c r="F9" s="7">
        <f>IF(C9=0,0,B9/C9)</f>
        <v>0</v>
      </c>
    </row>
    <row r="10" spans="1:6">
      <c r="A10" s="5">
        <v>45425</v>
      </c>
      <c r="B10" s="6">
        <v>3207588.503837863</v>
      </c>
      <c r="C10" s="6">
        <v>3277431.494893923</v>
      </c>
      <c r="D10" s="6">
        <v>51</v>
      </c>
      <c r="E10" s="6">
        <v>50</v>
      </c>
      <c r="F10" s="7">
        <f>IF(C10=0,0,B10/C10)</f>
        <v>0</v>
      </c>
    </row>
    <row r="11" spans="1:6">
      <c r="A11" s="5">
        <v>45432</v>
      </c>
      <c r="B11" s="6">
        <v>2733464.718206715</v>
      </c>
      <c r="C11" s="6">
        <v>3304637.26482811</v>
      </c>
      <c r="D11" s="6">
        <v>51</v>
      </c>
      <c r="E11" s="6">
        <v>50</v>
      </c>
      <c r="F11" s="7">
        <f>IF(C11=0,0,B11/C11)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603"/>
  <sheetViews>
    <sheetView workbookViewId="0"/>
  </sheetViews>
  <sheetFormatPr defaultRowHeight="15"/>
  <cols>
    <col min="1" max="1" width="14.7109375" customWidth="1"/>
    <col min="2" max="2" width="18.7109375" customWidth="1"/>
    <col min="3" max="4" width="22.7109375" customWidth="1"/>
  </cols>
  <sheetData>
    <row r="1" spans="1:4" ht="22" customHeight="1">
      <c r="A1" s="1" t="s">
        <v>35</v>
      </c>
      <c r="B1" s="1"/>
      <c r="C1" s="1"/>
      <c r="D1" s="1"/>
    </row>
    <row r="2" spans="1:4" ht="30" customHeight="1">
      <c r="A2" s="2" t="s">
        <v>36</v>
      </c>
      <c r="B2" s="2"/>
      <c r="C2" s="2"/>
      <c r="D2" s="2"/>
    </row>
    <row r="3" spans="1:4">
      <c r="A3" s="3" t="s">
        <v>2</v>
      </c>
      <c r="B3" s="3" t="s">
        <v>37</v>
      </c>
      <c r="C3" s="3" t="s">
        <v>38</v>
      </c>
      <c r="D3" s="3" t="s">
        <v>39</v>
      </c>
    </row>
    <row r="4" spans="1:4">
      <c r="A4" s="5">
        <v>45383</v>
      </c>
      <c r="B4" s="6" t="s">
        <v>40</v>
      </c>
      <c r="C4" s="6">
        <v>22752.63084764816</v>
      </c>
      <c r="D4" s="6">
        <v>19688.98910460117</v>
      </c>
    </row>
    <row r="5" spans="1:4">
      <c r="A5" s="5">
        <v>45383</v>
      </c>
      <c r="B5" s="6" t="s">
        <v>41</v>
      </c>
      <c r="C5" s="6">
        <v>24649.08082279686</v>
      </c>
      <c r="D5" s="6">
        <v>23609.42407916909</v>
      </c>
    </row>
    <row r="6" spans="1:4">
      <c r="A6" s="5">
        <v>45383</v>
      </c>
      <c r="B6" s="6" t="s">
        <v>42</v>
      </c>
      <c r="C6" s="6">
        <v>25908.5175752656</v>
      </c>
      <c r="D6" s="6">
        <v>23668.44681899296</v>
      </c>
    </row>
    <row r="7" spans="1:4">
      <c r="A7" s="5">
        <v>45383</v>
      </c>
      <c r="B7" s="6" t="s">
        <v>43</v>
      </c>
      <c r="C7" s="6">
        <v>28212.27008445228</v>
      </c>
      <c r="D7" s="6">
        <v>26029.05229976356</v>
      </c>
    </row>
    <row r="8" spans="1:4">
      <c r="A8" s="5">
        <v>45383</v>
      </c>
      <c r="B8" s="6" t="s">
        <v>44</v>
      </c>
      <c r="C8" s="6">
        <v>29547.47756796913</v>
      </c>
      <c r="D8" s="6">
        <v>26725.33190965158</v>
      </c>
    </row>
    <row r="9" spans="1:4">
      <c r="A9" s="5">
        <v>45383</v>
      </c>
      <c r="B9" s="6" t="s">
        <v>45</v>
      </c>
      <c r="C9" s="6">
        <v>28864.63034811054</v>
      </c>
      <c r="D9" s="6">
        <v>26193.37247980789</v>
      </c>
    </row>
    <row r="10" spans="1:4">
      <c r="A10" s="5">
        <v>45383</v>
      </c>
      <c r="B10" s="6" t="s">
        <v>46</v>
      </c>
      <c r="C10" s="6">
        <v>26416.76672220415</v>
      </c>
      <c r="D10" s="6">
        <v>25381.04614142829</v>
      </c>
    </row>
    <row r="11" spans="1:4">
      <c r="A11" s="5">
        <v>45383</v>
      </c>
      <c r="B11" s="6" t="s">
        <v>47</v>
      </c>
      <c r="C11" s="6">
        <v>26846.38405585715</v>
      </c>
      <c r="D11" s="6">
        <v>26747.57214494143</v>
      </c>
    </row>
    <row r="12" spans="1:4">
      <c r="A12" s="5">
        <v>45383</v>
      </c>
      <c r="B12" s="6" t="s">
        <v>48</v>
      </c>
      <c r="C12" s="6">
        <v>27035.18902839323</v>
      </c>
      <c r="D12" s="6">
        <v>26931.51364640952</v>
      </c>
    </row>
    <row r="13" spans="1:4">
      <c r="A13" s="5">
        <v>45383</v>
      </c>
      <c r="B13" s="6" t="s">
        <v>49</v>
      </c>
      <c r="C13" s="6">
        <v>28869.86304523336</v>
      </c>
      <c r="D13" s="6">
        <v>24482.3881907105</v>
      </c>
    </row>
    <row r="14" spans="1:4">
      <c r="A14" s="5">
        <v>45383</v>
      </c>
      <c r="B14" s="6" t="s">
        <v>50</v>
      </c>
      <c r="C14" s="6">
        <v>28306.10131924737</v>
      </c>
      <c r="D14" s="6">
        <v>25724.01200375778</v>
      </c>
    </row>
    <row r="15" spans="1:4">
      <c r="A15" s="5">
        <v>45383</v>
      </c>
      <c r="B15" s="6" t="s">
        <v>51</v>
      </c>
      <c r="C15" s="6">
        <v>28749.157455287</v>
      </c>
      <c r="D15" s="6">
        <v>25962.09256153743</v>
      </c>
    </row>
    <row r="16" spans="1:4">
      <c r="A16" s="5">
        <v>45383</v>
      </c>
      <c r="B16" s="6" t="s">
        <v>52</v>
      </c>
      <c r="C16" s="6">
        <v>24153.73960458278</v>
      </c>
      <c r="D16" s="6">
        <v>22133.10910900263</v>
      </c>
    </row>
    <row r="17" spans="1:4">
      <c r="A17" s="5">
        <v>45383</v>
      </c>
      <c r="B17" s="6" t="s">
        <v>53</v>
      </c>
      <c r="C17" s="6">
        <v>24297.28207828706</v>
      </c>
      <c r="D17" s="6">
        <v>22239.06607190052</v>
      </c>
    </row>
    <row r="18" spans="1:4">
      <c r="A18" s="5">
        <v>45383</v>
      </c>
      <c r="B18" s="6" t="s">
        <v>54</v>
      </c>
      <c r="C18" s="6">
        <v>27919.99798806992</v>
      </c>
      <c r="D18" s="6">
        <v>28125.7878113738</v>
      </c>
    </row>
    <row r="19" spans="1:4">
      <c r="A19" s="5">
        <v>45383</v>
      </c>
      <c r="B19" s="6" t="s">
        <v>55</v>
      </c>
      <c r="C19" s="6">
        <v>28012.52033900996</v>
      </c>
      <c r="D19" s="6">
        <v>27548.18290863125</v>
      </c>
    </row>
    <row r="20" spans="1:4">
      <c r="A20" s="5">
        <v>45383</v>
      </c>
      <c r="B20" s="6" t="s">
        <v>56</v>
      </c>
      <c r="C20" s="6">
        <v>29220.2077991487</v>
      </c>
      <c r="D20" s="6">
        <v>27047.248204056</v>
      </c>
    </row>
    <row r="21" spans="1:4">
      <c r="A21" s="5">
        <v>45383</v>
      </c>
      <c r="B21" s="6" t="s">
        <v>57</v>
      </c>
      <c r="C21" s="6">
        <v>27676.11735654047</v>
      </c>
      <c r="D21" s="6">
        <v>25801.17632503223</v>
      </c>
    </row>
    <row r="22" spans="1:4">
      <c r="A22" s="5">
        <v>45383</v>
      </c>
      <c r="B22" s="6" t="s">
        <v>58</v>
      </c>
      <c r="C22" s="6">
        <v>23817.94363465502</v>
      </c>
      <c r="D22" s="6">
        <v>20080.53571954625</v>
      </c>
    </row>
    <row r="23" spans="1:4">
      <c r="A23" s="5">
        <v>45383</v>
      </c>
      <c r="B23" s="6" t="s">
        <v>59</v>
      </c>
      <c r="C23" s="6">
        <v>24329.25761116142</v>
      </c>
      <c r="D23" s="6">
        <v>23420.4818233701</v>
      </c>
    </row>
    <row r="24" spans="1:4">
      <c r="A24" s="5">
        <v>45384</v>
      </c>
      <c r="B24" s="6" t="s">
        <v>40</v>
      </c>
      <c r="C24" s="6">
        <v>23807.45547021114</v>
      </c>
      <c r="D24" s="6">
        <v>20908.42060322472</v>
      </c>
    </row>
    <row r="25" spans="1:4">
      <c r="A25" s="5">
        <v>45384</v>
      </c>
      <c r="B25" s="6" t="s">
        <v>41</v>
      </c>
      <c r="C25" s="6">
        <v>24792.40680004222</v>
      </c>
      <c r="D25" s="6">
        <v>22292.69746412847</v>
      </c>
    </row>
    <row r="26" spans="1:4">
      <c r="A26" s="5">
        <v>45384</v>
      </c>
      <c r="B26" s="6" t="s">
        <v>42</v>
      </c>
      <c r="C26" s="6">
        <v>24904.47119861655</v>
      </c>
      <c r="D26" s="6">
        <v>23307.70263303059</v>
      </c>
    </row>
    <row r="27" spans="1:4">
      <c r="A27" s="5">
        <v>45384</v>
      </c>
      <c r="B27" s="6" t="s">
        <v>43</v>
      </c>
      <c r="C27" s="6">
        <v>27163.7168516967</v>
      </c>
      <c r="D27" s="6">
        <v>24202.37859192316</v>
      </c>
    </row>
    <row r="28" spans="1:4">
      <c r="A28" s="5">
        <v>45384</v>
      </c>
      <c r="B28" s="6" t="s">
        <v>44</v>
      </c>
      <c r="C28" s="6">
        <v>26834.6519816778</v>
      </c>
      <c r="D28" s="6">
        <v>25397.82834480992</v>
      </c>
    </row>
    <row r="29" spans="1:4">
      <c r="A29" s="5">
        <v>45384</v>
      </c>
      <c r="B29" s="6" t="s">
        <v>45</v>
      </c>
      <c r="C29" s="6">
        <v>29239.70110913588</v>
      </c>
      <c r="D29" s="6">
        <v>26830.70620117305</v>
      </c>
    </row>
    <row r="30" spans="1:4">
      <c r="A30" s="5">
        <v>45384</v>
      </c>
      <c r="B30" s="6" t="s">
        <v>46</v>
      </c>
      <c r="C30" s="6">
        <v>24588.17607162807</v>
      </c>
      <c r="D30" s="6">
        <v>22823.64298188488</v>
      </c>
    </row>
    <row r="31" spans="1:4">
      <c r="A31" s="5">
        <v>45384</v>
      </c>
      <c r="B31" s="6" t="s">
        <v>47</v>
      </c>
      <c r="C31" s="6">
        <v>24933.97136566828</v>
      </c>
      <c r="D31" s="6">
        <v>23621.82686698201</v>
      </c>
    </row>
    <row r="32" spans="1:4">
      <c r="A32" s="5">
        <v>45384</v>
      </c>
      <c r="B32" s="6" t="s">
        <v>48</v>
      </c>
      <c r="C32" s="6">
        <v>24495.24497767598</v>
      </c>
      <c r="D32" s="6">
        <v>20906.87894420788</v>
      </c>
    </row>
    <row r="33" spans="1:4">
      <c r="A33" s="5">
        <v>45384</v>
      </c>
      <c r="B33" s="6" t="s">
        <v>49</v>
      </c>
      <c r="C33" s="6">
        <v>26297.88402319431</v>
      </c>
      <c r="D33" s="6">
        <v>23152.83920267289</v>
      </c>
    </row>
    <row r="34" spans="1:4">
      <c r="A34" s="5">
        <v>45384</v>
      </c>
      <c r="B34" s="6" t="s">
        <v>50</v>
      </c>
      <c r="C34" s="6">
        <v>28337.70361540372</v>
      </c>
      <c r="D34" s="6">
        <v>25322.74882057844</v>
      </c>
    </row>
    <row r="35" spans="1:4">
      <c r="A35" s="5">
        <v>45384</v>
      </c>
      <c r="B35" s="6" t="s">
        <v>51</v>
      </c>
      <c r="C35" s="6">
        <v>27759.37678692644</v>
      </c>
      <c r="D35" s="6">
        <v>25621.16818782746</v>
      </c>
    </row>
    <row r="36" spans="1:4">
      <c r="A36" s="5">
        <v>45384</v>
      </c>
      <c r="B36" s="6" t="s">
        <v>52</v>
      </c>
      <c r="C36" s="6">
        <v>22604.50880849535</v>
      </c>
      <c r="D36" s="6">
        <v>19880.92893865257</v>
      </c>
    </row>
    <row r="37" spans="1:4">
      <c r="A37" s="5">
        <v>45384</v>
      </c>
      <c r="B37" s="6" t="s">
        <v>53</v>
      </c>
      <c r="C37" s="6">
        <v>25964.97832438364</v>
      </c>
      <c r="D37" s="6">
        <v>23106.10407080989</v>
      </c>
    </row>
    <row r="38" spans="1:4">
      <c r="A38" s="5">
        <v>45384</v>
      </c>
      <c r="B38" s="6" t="s">
        <v>54</v>
      </c>
      <c r="C38" s="6">
        <v>26472.41158347704</v>
      </c>
      <c r="D38" s="6">
        <v>24954.60579687671</v>
      </c>
    </row>
    <row r="39" spans="1:4">
      <c r="A39" s="5">
        <v>45384</v>
      </c>
      <c r="B39" s="6" t="s">
        <v>55</v>
      </c>
      <c r="C39" s="6">
        <v>27089.68790830698</v>
      </c>
      <c r="D39" s="6">
        <v>25575.39658934135</v>
      </c>
    </row>
    <row r="40" spans="1:4">
      <c r="A40" s="5">
        <v>45384</v>
      </c>
      <c r="B40" s="6" t="s">
        <v>56</v>
      </c>
      <c r="C40" s="6">
        <v>28577.45633954064</v>
      </c>
      <c r="D40" s="6">
        <v>27602.01588180436</v>
      </c>
    </row>
    <row r="41" spans="1:4">
      <c r="A41" s="5">
        <v>45384</v>
      </c>
      <c r="B41" s="6" t="s">
        <v>57</v>
      </c>
      <c r="C41" s="6">
        <v>30188.4565607395</v>
      </c>
      <c r="D41" s="6">
        <v>25407.31844472544</v>
      </c>
    </row>
    <row r="42" spans="1:4">
      <c r="A42" s="5">
        <v>45384</v>
      </c>
      <c r="B42" s="6" t="s">
        <v>58</v>
      </c>
      <c r="C42" s="6">
        <v>24382.05029517741</v>
      </c>
      <c r="D42" s="6">
        <v>20902.77446083585</v>
      </c>
    </row>
    <row r="43" spans="1:4">
      <c r="A43" s="5">
        <v>45384</v>
      </c>
      <c r="B43" s="6" t="s">
        <v>59</v>
      </c>
      <c r="C43" s="6">
        <v>24702.60961800978</v>
      </c>
      <c r="D43" s="6">
        <v>22731.64474204473</v>
      </c>
    </row>
    <row r="44" spans="1:4">
      <c r="A44" s="5">
        <v>45385</v>
      </c>
      <c r="B44" s="6" t="s">
        <v>40</v>
      </c>
      <c r="C44" s="6">
        <v>22890.54361350949</v>
      </c>
      <c r="D44" s="6">
        <v>19950.58965115567</v>
      </c>
    </row>
    <row r="45" spans="1:4">
      <c r="A45" s="5">
        <v>45385</v>
      </c>
      <c r="B45" s="6" t="s">
        <v>41</v>
      </c>
      <c r="C45" s="6">
        <v>23320.66767257769</v>
      </c>
      <c r="D45" s="6">
        <v>20003.14072284035</v>
      </c>
    </row>
    <row r="46" spans="1:4">
      <c r="A46" s="5">
        <v>45385</v>
      </c>
      <c r="B46" s="6" t="s">
        <v>42</v>
      </c>
      <c r="C46" s="6">
        <v>26998.18020602917</v>
      </c>
      <c r="D46" s="6">
        <v>24210.97543660224</v>
      </c>
    </row>
    <row r="47" spans="1:4">
      <c r="A47" s="5">
        <v>45385</v>
      </c>
      <c r="B47" s="6" t="s">
        <v>43</v>
      </c>
      <c r="C47" s="6">
        <v>27049.77868405647</v>
      </c>
      <c r="D47" s="6">
        <v>26899.71356918762</v>
      </c>
    </row>
    <row r="48" spans="1:4">
      <c r="A48" s="5">
        <v>45385</v>
      </c>
      <c r="B48" s="6" t="s">
        <v>44</v>
      </c>
      <c r="C48" s="6">
        <v>27147.31720271022</v>
      </c>
      <c r="D48" s="6">
        <v>26498.65871990657</v>
      </c>
    </row>
    <row r="49" spans="1:4">
      <c r="A49" s="5">
        <v>45385</v>
      </c>
      <c r="B49" s="6" t="s">
        <v>45</v>
      </c>
      <c r="C49" s="6">
        <v>28705.11836455264</v>
      </c>
      <c r="D49" s="6">
        <v>25976.29027821223</v>
      </c>
    </row>
    <row r="50" spans="1:4">
      <c r="A50" s="5">
        <v>45385</v>
      </c>
      <c r="B50" s="6" t="s">
        <v>46</v>
      </c>
      <c r="C50" s="6">
        <v>25290.29043322072</v>
      </c>
      <c r="D50" s="6">
        <v>24848.13046346271</v>
      </c>
    </row>
    <row r="51" spans="1:4">
      <c r="A51" s="5">
        <v>45385</v>
      </c>
      <c r="B51" s="6" t="s">
        <v>47</v>
      </c>
      <c r="C51" s="6">
        <v>26619.75011858642</v>
      </c>
      <c r="D51" s="6">
        <v>23631.00494893893</v>
      </c>
    </row>
    <row r="52" spans="1:4">
      <c r="A52" s="5">
        <v>45385</v>
      </c>
      <c r="B52" s="6" t="s">
        <v>48</v>
      </c>
      <c r="C52" s="6">
        <v>24614.03974450274</v>
      </c>
      <c r="D52" s="6">
        <v>20866.75462709227</v>
      </c>
    </row>
    <row r="53" spans="1:4">
      <c r="A53" s="5">
        <v>45385</v>
      </c>
      <c r="B53" s="6" t="s">
        <v>49</v>
      </c>
      <c r="C53" s="6">
        <v>29627.69760541658</v>
      </c>
      <c r="D53" s="6">
        <v>28642.39716149769</v>
      </c>
    </row>
    <row r="54" spans="1:4">
      <c r="A54" s="5">
        <v>45385</v>
      </c>
      <c r="B54" s="6" t="s">
        <v>50</v>
      </c>
      <c r="C54" s="6">
        <v>27626.33035168255</v>
      </c>
      <c r="D54" s="6">
        <v>24329.95680623673</v>
      </c>
    </row>
    <row r="55" spans="1:4">
      <c r="A55" s="5">
        <v>45385</v>
      </c>
      <c r="B55" s="6" t="s">
        <v>51</v>
      </c>
      <c r="C55" s="6">
        <v>29489.93210530065</v>
      </c>
      <c r="D55" s="6">
        <v>28796.00184363534</v>
      </c>
    </row>
    <row r="56" spans="1:4">
      <c r="A56" s="5">
        <v>45385</v>
      </c>
      <c r="B56" s="6" t="s">
        <v>52</v>
      </c>
      <c r="C56" s="6">
        <v>25020.60065871856</v>
      </c>
      <c r="D56" s="6">
        <v>23499.80001517855</v>
      </c>
    </row>
    <row r="57" spans="1:4">
      <c r="A57" s="5">
        <v>45385</v>
      </c>
      <c r="B57" s="6" t="s">
        <v>53</v>
      </c>
      <c r="C57" s="6">
        <v>26747.39542842593</v>
      </c>
      <c r="D57" s="6">
        <v>27125.53559554935</v>
      </c>
    </row>
    <row r="58" spans="1:4">
      <c r="A58" s="5">
        <v>45385</v>
      </c>
      <c r="B58" s="6" t="s">
        <v>54</v>
      </c>
      <c r="C58" s="6">
        <v>26554.7889956783</v>
      </c>
      <c r="D58" s="6">
        <v>26765.94847204541</v>
      </c>
    </row>
    <row r="59" spans="1:4">
      <c r="A59" s="5">
        <v>45385</v>
      </c>
      <c r="B59" s="6" t="s">
        <v>55</v>
      </c>
      <c r="C59" s="6">
        <v>27289.50885991436</v>
      </c>
      <c r="D59" s="6">
        <v>25929.71518156171</v>
      </c>
    </row>
    <row r="60" spans="1:4">
      <c r="A60" s="5">
        <v>45385</v>
      </c>
      <c r="B60" s="6" t="s">
        <v>56</v>
      </c>
      <c r="C60" s="6">
        <v>26657.47100661162</v>
      </c>
      <c r="D60" s="6">
        <v>23620.41810872463</v>
      </c>
    </row>
    <row r="61" spans="1:4">
      <c r="A61" s="5">
        <v>45385</v>
      </c>
      <c r="B61" s="6" t="s">
        <v>57</v>
      </c>
      <c r="C61" s="6">
        <v>29079.83559584744</v>
      </c>
      <c r="D61" s="6">
        <v>27034.69276395358</v>
      </c>
    </row>
    <row r="62" spans="1:4">
      <c r="A62" s="5">
        <v>45385</v>
      </c>
      <c r="B62" s="6" t="s">
        <v>58</v>
      </c>
      <c r="C62" s="6">
        <v>23690.05791587506</v>
      </c>
      <c r="D62" s="6">
        <v>22019.69759702399</v>
      </c>
    </row>
    <row r="63" spans="1:4">
      <c r="A63" s="5">
        <v>45385</v>
      </c>
      <c r="B63" s="6" t="s">
        <v>59</v>
      </c>
      <c r="C63" s="6">
        <v>22610.55612513762</v>
      </c>
      <c r="D63" s="6">
        <v>19896.42984476951</v>
      </c>
    </row>
    <row r="64" spans="1:4">
      <c r="A64" s="5">
        <v>45386</v>
      </c>
      <c r="B64" s="6" t="s">
        <v>40</v>
      </c>
      <c r="C64" s="6">
        <v>24706.98023281579</v>
      </c>
      <c r="D64" s="6">
        <v>22460.07312328165</v>
      </c>
    </row>
    <row r="65" spans="1:4">
      <c r="A65" s="5">
        <v>45386</v>
      </c>
      <c r="B65" s="6" t="s">
        <v>41</v>
      </c>
      <c r="C65" s="6">
        <v>25058.07225312609</v>
      </c>
      <c r="D65" s="6">
        <v>22663.70163718313</v>
      </c>
    </row>
    <row r="66" spans="1:4">
      <c r="A66" s="5">
        <v>45386</v>
      </c>
      <c r="B66" s="6" t="s">
        <v>42</v>
      </c>
      <c r="C66" s="6">
        <v>25135.54342238172</v>
      </c>
      <c r="D66" s="6">
        <v>24336.71251947252</v>
      </c>
    </row>
    <row r="67" spans="1:4">
      <c r="A67" s="5">
        <v>45386</v>
      </c>
      <c r="B67" s="6" t="s">
        <v>43</v>
      </c>
      <c r="C67" s="6">
        <v>27373.37277153809</v>
      </c>
      <c r="D67" s="6">
        <v>25176.19471073776</v>
      </c>
    </row>
    <row r="68" spans="1:4">
      <c r="A68" s="5">
        <v>45386</v>
      </c>
      <c r="B68" s="6" t="s">
        <v>44</v>
      </c>
      <c r="C68" s="6">
        <v>28440.78598081857</v>
      </c>
      <c r="D68" s="6">
        <v>27650.76603109858</v>
      </c>
    </row>
    <row r="69" spans="1:4">
      <c r="A69" s="5">
        <v>45386</v>
      </c>
      <c r="B69" s="6" t="s">
        <v>45</v>
      </c>
      <c r="C69" s="6">
        <v>28032.84582456627</v>
      </c>
      <c r="D69" s="6">
        <v>25815.93223258319</v>
      </c>
    </row>
    <row r="70" spans="1:4">
      <c r="A70" s="5">
        <v>45386</v>
      </c>
      <c r="B70" s="6" t="s">
        <v>46</v>
      </c>
      <c r="C70" s="6">
        <v>24129.62005269083</v>
      </c>
      <c r="D70" s="6">
        <v>22541.12504807379</v>
      </c>
    </row>
    <row r="71" spans="1:4">
      <c r="A71" s="5">
        <v>45386</v>
      </c>
      <c r="B71" s="6" t="s">
        <v>47</v>
      </c>
      <c r="C71" s="6">
        <v>25785.95373759423</v>
      </c>
      <c r="D71" s="6">
        <v>22999.8124661961</v>
      </c>
    </row>
    <row r="72" spans="1:4">
      <c r="A72" s="5">
        <v>45386</v>
      </c>
      <c r="B72" s="6" t="s">
        <v>48</v>
      </c>
      <c r="C72" s="6">
        <v>27167.88941223914</v>
      </c>
      <c r="D72" s="6">
        <v>25096.64708164142</v>
      </c>
    </row>
    <row r="73" spans="1:4">
      <c r="A73" s="5">
        <v>45386</v>
      </c>
      <c r="B73" s="6" t="s">
        <v>49</v>
      </c>
      <c r="C73" s="6">
        <v>26962.59895954394</v>
      </c>
      <c r="D73" s="6">
        <v>24912.07327095511</v>
      </c>
    </row>
    <row r="74" spans="1:4">
      <c r="A74" s="5">
        <v>45386</v>
      </c>
      <c r="B74" s="6" t="s">
        <v>50</v>
      </c>
      <c r="C74" s="6">
        <v>25138.83979438818</v>
      </c>
      <c r="D74" s="6">
        <v>22330.86879090522</v>
      </c>
    </row>
    <row r="75" spans="1:4">
      <c r="A75" s="5">
        <v>45386</v>
      </c>
      <c r="B75" s="6" t="s">
        <v>51</v>
      </c>
      <c r="C75" s="6">
        <v>28939.05406591587</v>
      </c>
      <c r="D75" s="6">
        <v>25217.56059257654</v>
      </c>
    </row>
    <row r="76" spans="1:4">
      <c r="A76" s="5">
        <v>45386</v>
      </c>
      <c r="B76" s="6" t="s">
        <v>52</v>
      </c>
      <c r="C76" s="6">
        <v>24868.11056240792</v>
      </c>
      <c r="D76" s="6">
        <v>22646.37246097975</v>
      </c>
    </row>
    <row r="77" spans="1:4">
      <c r="A77" s="5">
        <v>45386</v>
      </c>
      <c r="B77" s="6" t="s">
        <v>53</v>
      </c>
      <c r="C77" s="6">
        <v>26142.58268228483</v>
      </c>
      <c r="D77" s="6">
        <v>23823.54023705365</v>
      </c>
    </row>
    <row r="78" spans="1:4">
      <c r="A78" s="5">
        <v>45386</v>
      </c>
      <c r="B78" s="6" t="s">
        <v>54</v>
      </c>
      <c r="C78" s="6">
        <v>26435.85800745906</v>
      </c>
      <c r="D78" s="6">
        <v>25132.32567390878</v>
      </c>
    </row>
    <row r="79" spans="1:4">
      <c r="A79" s="5">
        <v>45386</v>
      </c>
      <c r="B79" s="6" t="s">
        <v>55</v>
      </c>
      <c r="C79" s="6">
        <v>26452.01990370897</v>
      </c>
      <c r="D79" s="6">
        <v>23688.23308232795</v>
      </c>
    </row>
    <row r="80" spans="1:4">
      <c r="A80" s="5">
        <v>45386</v>
      </c>
      <c r="B80" s="6" t="s">
        <v>56</v>
      </c>
      <c r="C80" s="6">
        <v>28243.1271961133</v>
      </c>
      <c r="D80" s="6">
        <v>25255.415468245</v>
      </c>
    </row>
    <row r="81" spans="1:4">
      <c r="A81" s="5">
        <v>45386</v>
      </c>
      <c r="B81" s="6" t="s">
        <v>57</v>
      </c>
      <c r="C81" s="6">
        <v>28227.81861147641</v>
      </c>
      <c r="D81" s="6">
        <v>26345.34965001859</v>
      </c>
    </row>
    <row r="82" spans="1:4">
      <c r="A82" s="5">
        <v>45386</v>
      </c>
      <c r="B82" s="6" t="s">
        <v>58</v>
      </c>
      <c r="C82" s="6">
        <v>23793.39192044007</v>
      </c>
      <c r="D82" s="6">
        <v>21063.12777627957</v>
      </c>
    </row>
    <row r="83" spans="1:4">
      <c r="A83" s="5">
        <v>45386</v>
      </c>
      <c r="B83" s="6" t="s">
        <v>59</v>
      </c>
      <c r="C83" s="6">
        <v>27726.51761315659</v>
      </c>
      <c r="D83" s="6">
        <v>24531.69071727943</v>
      </c>
    </row>
    <row r="84" spans="1:4">
      <c r="A84" s="5">
        <v>45387</v>
      </c>
      <c r="B84" s="6" t="s">
        <v>40</v>
      </c>
      <c r="C84" s="6">
        <v>26052.19434837495</v>
      </c>
      <c r="D84" s="6">
        <v>24422.79944000782</v>
      </c>
    </row>
    <row r="85" spans="1:4">
      <c r="A85" s="5">
        <v>45387</v>
      </c>
      <c r="B85" s="6" t="s">
        <v>41</v>
      </c>
      <c r="C85" s="6">
        <v>25708.35103249736</v>
      </c>
      <c r="D85" s="6">
        <v>21822.17900948835</v>
      </c>
    </row>
    <row r="86" spans="1:4">
      <c r="A86" s="5">
        <v>45387</v>
      </c>
      <c r="B86" s="6" t="s">
        <v>42</v>
      </c>
      <c r="C86" s="6">
        <v>27048.30491728647</v>
      </c>
      <c r="D86" s="6">
        <v>24956.48556791765</v>
      </c>
    </row>
    <row r="87" spans="1:4">
      <c r="A87" s="5">
        <v>45387</v>
      </c>
      <c r="B87" s="6" t="s">
        <v>43</v>
      </c>
      <c r="C87" s="6">
        <v>26950.20791476199</v>
      </c>
      <c r="D87" s="6">
        <v>25796.67474139099</v>
      </c>
    </row>
    <row r="88" spans="1:4">
      <c r="A88" s="5">
        <v>45387</v>
      </c>
      <c r="B88" s="6" t="s">
        <v>44</v>
      </c>
      <c r="C88" s="6">
        <v>29232.12476632045</v>
      </c>
      <c r="D88" s="6">
        <v>29285.39451548617</v>
      </c>
    </row>
    <row r="89" spans="1:4">
      <c r="A89" s="5">
        <v>45387</v>
      </c>
      <c r="B89" s="6" t="s">
        <v>45</v>
      </c>
      <c r="C89" s="6">
        <v>29869.56369562322</v>
      </c>
      <c r="D89" s="6">
        <v>24087.21368517948</v>
      </c>
    </row>
    <row r="90" spans="1:4">
      <c r="A90" s="5">
        <v>45387</v>
      </c>
      <c r="B90" s="6" t="s">
        <v>46</v>
      </c>
      <c r="C90" s="6">
        <v>22962.45834436794</v>
      </c>
      <c r="D90" s="6">
        <v>19819.85834880087</v>
      </c>
    </row>
    <row r="91" spans="1:4">
      <c r="A91" s="5">
        <v>45387</v>
      </c>
      <c r="B91" s="6" t="s">
        <v>47</v>
      </c>
      <c r="C91" s="6">
        <v>27766.30057328321</v>
      </c>
      <c r="D91" s="6">
        <v>27402.2152753969</v>
      </c>
    </row>
    <row r="92" spans="1:4">
      <c r="A92" s="5">
        <v>45387</v>
      </c>
      <c r="B92" s="6" t="s">
        <v>48</v>
      </c>
      <c r="C92" s="6">
        <v>28156.09420138151</v>
      </c>
      <c r="D92" s="6">
        <v>25762.02570243846</v>
      </c>
    </row>
    <row r="93" spans="1:4">
      <c r="A93" s="5">
        <v>45387</v>
      </c>
      <c r="B93" s="6" t="s">
        <v>49</v>
      </c>
      <c r="C93" s="6">
        <v>27152.48587727019</v>
      </c>
      <c r="D93" s="6">
        <v>23974.16000359157</v>
      </c>
    </row>
    <row r="94" spans="1:4">
      <c r="A94" s="5">
        <v>45387</v>
      </c>
      <c r="B94" s="6" t="s">
        <v>50</v>
      </c>
      <c r="C94" s="6">
        <v>28851.18303577417</v>
      </c>
      <c r="D94" s="6">
        <v>26908.60748723487</v>
      </c>
    </row>
    <row r="95" spans="1:4">
      <c r="A95" s="5">
        <v>45387</v>
      </c>
      <c r="B95" s="6" t="s">
        <v>51</v>
      </c>
      <c r="C95" s="6">
        <v>29983.55850696305</v>
      </c>
      <c r="D95" s="6">
        <v>28112.33215587701</v>
      </c>
    </row>
    <row r="96" spans="1:4">
      <c r="A96" s="5">
        <v>45387</v>
      </c>
      <c r="B96" s="6" t="s">
        <v>52</v>
      </c>
      <c r="C96" s="6">
        <v>27189.76516724457</v>
      </c>
      <c r="D96" s="6">
        <v>25995.31638016313</v>
      </c>
    </row>
    <row r="97" spans="1:4">
      <c r="A97" s="5">
        <v>45387</v>
      </c>
      <c r="B97" s="6" t="s">
        <v>53</v>
      </c>
      <c r="C97" s="6">
        <v>26539.45837821758</v>
      </c>
      <c r="D97" s="6">
        <v>26622.07170608225</v>
      </c>
    </row>
    <row r="98" spans="1:4">
      <c r="A98" s="5">
        <v>45387</v>
      </c>
      <c r="B98" s="6" t="s">
        <v>54</v>
      </c>
      <c r="C98" s="6">
        <v>26402.00388556734</v>
      </c>
      <c r="D98" s="6">
        <v>23944.88564052591</v>
      </c>
    </row>
    <row r="99" spans="1:4">
      <c r="A99" s="5">
        <v>45387</v>
      </c>
      <c r="B99" s="6" t="s">
        <v>55</v>
      </c>
      <c r="C99" s="6">
        <v>25701.75601259347</v>
      </c>
      <c r="D99" s="6">
        <v>22350.2611337269</v>
      </c>
    </row>
    <row r="100" spans="1:4">
      <c r="A100" s="5">
        <v>45387</v>
      </c>
      <c r="B100" s="6" t="s">
        <v>56</v>
      </c>
      <c r="C100" s="6">
        <v>27169.14641235718</v>
      </c>
      <c r="D100" s="6">
        <v>23865.17979815034</v>
      </c>
    </row>
    <row r="101" spans="1:4">
      <c r="A101" s="5">
        <v>45387</v>
      </c>
      <c r="B101" s="6" t="s">
        <v>57</v>
      </c>
      <c r="C101" s="6">
        <v>30533.36860608059</v>
      </c>
      <c r="D101" s="6">
        <v>26537.71661287034</v>
      </c>
    </row>
    <row r="102" spans="1:4">
      <c r="A102" s="5">
        <v>45387</v>
      </c>
      <c r="B102" s="6" t="s">
        <v>58</v>
      </c>
      <c r="C102" s="6">
        <v>24731.50946372372</v>
      </c>
      <c r="D102" s="6">
        <v>22770.84463005155</v>
      </c>
    </row>
    <row r="103" spans="1:4">
      <c r="A103" s="5">
        <v>45387</v>
      </c>
      <c r="B103" s="6" t="s">
        <v>59</v>
      </c>
      <c r="C103" s="6">
        <v>23624.64836624885</v>
      </c>
      <c r="D103" s="6">
        <v>22679.03227109765</v>
      </c>
    </row>
    <row r="104" spans="1:4">
      <c r="A104" s="5">
        <v>45388</v>
      </c>
      <c r="B104" s="6" t="s">
        <v>40</v>
      </c>
      <c r="C104" s="6">
        <v>23709.02109712417</v>
      </c>
      <c r="D104" s="6">
        <v>21227.77975742788</v>
      </c>
    </row>
    <row r="105" spans="1:4">
      <c r="A105" s="5">
        <v>45388</v>
      </c>
      <c r="B105" s="6" t="s">
        <v>41</v>
      </c>
      <c r="C105" s="6">
        <v>27534.4106728348</v>
      </c>
      <c r="D105" s="6">
        <v>25038.93537022778</v>
      </c>
    </row>
    <row r="106" spans="1:4">
      <c r="A106" s="5">
        <v>45388</v>
      </c>
      <c r="B106" s="6" t="s">
        <v>42</v>
      </c>
      <c r="C106" s="6">
        <v>25205.7850977035</v>
      </c>
      <c r="D106" s="6">
        <v>24696.90329528715</v>
      </c>
    </row>
    <row r="107" spans="1:4">
      <c r="A107" s="5">
        <v>45388</v>
      </c>
      <c r="B107" s="6" t="s">
        <v>43</v>
      </c>
      <c r="C107" s="6">
        <v>25420.4334690424</v>
      </c>
      <c r="D107" s="6">
        <v>24422.66912463182</v>
      </c>
    </row>
    <row r="108" spans="1:4">
      <c r="A108" s="5">
        <v>45388</v>
      </c>
      <c r="B108" s="6" t="s">
        <v>44</v>
      </c>
      <c r="C108" s="6">
        <v>27460.52091969245</v>
      </c>
      <c r="D108" s="6">
        <v>23006.54918002325</v>
      </c>
    </row>
    <row r="109" spans="1:4">
      <c r="A109" s="5">
        <v>45388</v>
      </c>
      <c r="B109" s="6" t="s">
        <v>45</v>
      </c>
      <c r="C109" s="6">
        <v>29466.64496435504</v>
      </c>
      <c r="D109" s="6">
        <v>25487.63947336964</v>
      </c>
    </row>
    <row r="110" spans="1:4">
      <c r="A110" s="5">
        <v>45388</v>
      </c>
      <c r="B110" s="6" t="s">
        <v>46</v>
      </c>
      <c r="C110" s="6">
        <v>24547.72876809932</v>
      </c>
      <c r="D110" s="6">
        <v>21788.44007613061</v>
      </c>
    </row>
    <row r="111" spans="1:4">
      <c r="A111" s="5">
        <v>45388</v>
      </c>
      <c r="B111" s="6" t="s">
        <v>47</v>
      </c>
      <c r="C111" s="6">
        <v>25284.81574886608</v>
      </c>
      <c r="D111" s="6">
        <v>22222.0717024191</v>
      </c>
    </row>
    <row r="112" spans="1:4">
      <c r="A112" s="5">
        <v>45388</v>
      </c>
      <c r="B112" s="6" t="s">
        <v>48</v>
      </c>
      <c r="C112" s="6">
        <v>24800.05644169774</v>
      </c>
      <c r="D112" s="6">
        <v>22524.12395690105</v>
      </c>
    </row>
    <row r="113" spans="1:4">
      <c r="A113" s="5">
        <v>45388</v>
      </c>
      <c r="B113" s="6" t="s">
        <v>49</v>
      </c>
      <c r="C113" s="6">
        <v>26707.8790214582</v>
      </c>
      <c r="D113" s="6">
        <v>25117.62427340934</v>
      </c>
    </row>
    <row r="114" spans="1:4">
      <c r="A114" s="5">
        <v>45388</v>
      </c>
      <c r="B114" s="6" t="s">
        <v>50</v>
      </c>
      <c r="C114" s="6">
        <v>25837.52281160977</v>
      </c>
      <c r="D114" s="6">
        <v>24902.59073501428</v>
      </c>
    </row>
    <row r="115" spans="1:4">
      <c r="A115" s="5">
        <v>45388</v>
      </c>
      <c r="B115" s="6" t="s">
        <v>51</v>
      </c>
      <c r="C115" s="6">
        <v>29970.31306739423</v>
      </c>
      <c r="D115" s="6">
        <v>29175.44431298389</v>
      </c>
    </row>
    <row r="116" spans="1:4">
      <c r="A116" s="5">
        <v>45388</v>
      </c>
      <c r="B116" s="6" t="s">
        <v>52</v>
      </c>
      <c r="C116" s="6">
        <v>25135.39828224311</v>
      </c>
      <c r="D116" s="6">
        <v>23794.08854246087</v>
      </c>
    </row>
    <row r="117" spans="1:4">
      <c r="A117" s="5">
        <v>45388</v>
      </c>
      <c r="B117" s="6" t="s">
        <v>53</v>
      </c>
      <c r="C117" s="6">
        <v>24951.95136596501</v>
      </c>
      <c r="D117" s="6">
        <v>23012.31317799621</v>
      </c>
    </row>
    <row r="118" spans="1:4">
      <c r="A118" s="5">
        <v>45388</v>
      </c>
      <c r="B118" s="6" t="s">
        <v>54</v>
      </c>
      <c r="C118" s="6">
        <v>26472.11049852438</v>
      </c>
      <c r="D118" s="6">
        <v>23751.57430442073</v>
      </c>
    </row>
    <row r="119" spans="1:4">
      <c r="A119" s="5">
        <v>45388</v>
      </c>
      <c r="B119" s="6" t="s">
        <v>55</v>
      </c>
      <c r="C119" s="6">
        <v>26250.29924251892</v>
      </c>
      <c r="D119" s="6">
        <v>22762.30021396581</v>
      </c>
    </row>
    <row r="120" spans="1:4">
      <c r="A120" s="5">
        <v>45388</v>
      </c>
      <c r="B120" s="6" t="s">
        <v>56</v>
      </c>
      <c r="C120" s="6">
        <v>27291.13050242507</v>
      </c>
      <c r="D120" s="6">
        <v>24742.5159985204</v>
      </c>
    </row>
    <row r="121" spans="1:4">
      <c r="A121" s="5">
        <v>45388</v>
      </c>
      <c r="B121" s="6" t="s">
        <v>57</v>
      </c>
      <c r="C121" s="6">
        <v>28142.64519372126</v>
      </c>
      <c r="D121" s="6">
        <v>26982.60124351753</v>
      </c>
    </row>
    <row r="122" spans="1:4">
      <c r="A122" s="5">
        <v>45388</v>
      </c>
      <c r="B122" s="6" t="s">
        <v>58</v>
      </c>
      <c r="C122" s="6">
        <v>23792.97905870466</v>
      </c>
      <c r="D122" s="6">
        <v>21945.50246320965</v>
      </c>
    </row>
    <row r="123" spans="1:4">
      <c r="A123" s="5">
        <v>45388</v>
      </c>
      <c r="B123" s="6" t="s">
        <v>59</v>
      </c>
      <c r="C123" s="6">
        <v>25317.69157348173</v>
      </c>
      <c r="D123" s="6">
        <v>24058.6939898237</v>
      </c>
    </row>
    <row r="124" spans="1:4">
      <c r="A124" s="5">
        <v>45389</v>
      </c>
      <c r="B124" s="6" t="s">
        <v>40</v>
      </c>
      <c r="C124" s="6">
        <v>25675.18923285159</v>
      </c>
      <c r="D124" s="6">
        <v>24743.01219702481</v>
      </c>
    </row>
    <row r="125" spans="1:4">
      <c r="A125" s="5">
        <v>45389</v>
      </c>
      <c r="B125" s="6" t="s">
        <v>41</v>
      </c>
      <c r="C125" s="6">
        <v>24678.92652318009</v>
      </c>
      <c r="D125" s="6">
        <v>23877.57322944849</v>
      </c>
    </row>
    <row r="126" spans="1:4">
      <c r="A126" s="5">
        <v>45389</v>
      </c>
      <c r="B126" s="6" t="s">
        <v>42</v>
      </c>
      <c r="C126" s="6">
        <v>27343.90377732621</v>
      </c>
      <c r="D126" s="6">
        <v>26338.05699732124</v>
      </c>
    </row>
    <row r="127" spans="1:4">
      <c r="A127" s="5">
        <v>45389</v>
      </c>
      <c r="B127" s="6" t="s">
        <v>43</v>
      </c>
      <c r="C127" s="6">
        <v>27704.51835731826</v>
      </c>
      <c r="D127" s="6">
        <v>24225.54168245578</v>
      </c>
    </row>
    <row r="128" spans="1:4">
      <c r="A128" s="5">
        <v>45389</v>
      </c>
      <c r="B128" s="6" t="s">
        <v>44</v>
      </c>
      <c r="C128" s="6">
        <v>28372.52482846468</v>
      </c>
      <c r="D128" s="6">
        <v>25807.65276409908</v>
      </c>
    </row>
    <row r="129" spans="1:4">
      <c r="A129" s="5">
        <v>45389</v>
      </c>
      <c r="B129" s="6" t="s">
        <v>45</v>
      </c>
      <c r="C129" s="6">
        <v>29456.43609315703</v>
      </c>
      <c r="D129" s="6">
        <v>27062.13676133982</v>
      </c>
    </row>
    <row r="130" spans="1:4">
      <c r="A130" s="5">
        <v>45389</v>
      </c>
      <c r="B130" s="6" t="s">
        <v>46</v>
      </c>
      <c r="C130" s="6">
        <v>25171.00584977072</v>
      </c>
      <c r="D130" s="6">
        <v>21213.63893081398</v>
      </c>
    </row>
    <row r="131" spans="1:4">
      <c r="A131" s="5">
        <v>45389</v>
      </c>
      <c r="B131" s="6" t="s">
        <v>47</v>
      </c>
      <c r="C131" s="6">
        <v>24788.38577248202</v>
      </c>
      <c r="D131" s="6">
        <v>23668.30860235721</v>
      </c>
    </row>
    <row r="132" spans="1:4">
      <c r="A132" s="5">
        <v>45389</v>
      </c>
      <c r="B132" s="6" t="s">
        <v>48</v>
      </c>
      <c r="C132" s="6">
        <v>25153.66512010078</v>
      </c>
      <c r="D132" s="6">
        <v>22366.68297378967</v>
      </c>
    </row>
    <row r="133" spans="1:4">
      <c r="A133" s="5">
        <v>45389</v>
      </c>
      <c r="B133" s="6" t="s">
        <v>49</v>
      </c>
      <c r="C133" s="6">
        <v>27258.25753008794</v>
      </c>
      <c r="D133" s="6">
        <v>24709.69790586403</v>
      </c>
    </row>
    <row r="134" spans="1:4">
      <c r="A134" s="5">
        <v>45389</v>
      </c>
      <c r="B134" s="6" t="s">
        <v>50</v>
      </c>
      <c r="C134" s="6">
        <v>28192.7388240963</v>
      </c>
      <c r="D134" s="6">
        <v>27283.22528768668</v>
      </c>
    </row>
    <row r="135" spans="1:4">
      <c r="A135" s="5">
        <v>45389</v>
      </c>
      <c r="B135" s="6" t="s">
        <v>51</v>
      </c>
      <c r="C135" s="6">
        <v>28911.60937335112</v>
      </c>
      <c r="D135" s="6">
        <v>28107.38971280101</v>
      </c>
    </row>
    <row r="136" spans="1:4">
      <c r="A136" s="5">
        <v>45389</v>
      </c>
      <c r="B136" s="6" t="s">
        <v>52</v>
      </c>
      <c r="C136" s="6">
        <v>24294.21252258467</v>
      </c>
      <c r="D136" s="6">
        <v>21719.21086591492</v>
      </c>
    </row>
    <row r="137" spans="1:4">
      <c r="A137" s="5">
        <v>45389</v>
      </c>
      <c r="B137" s="6" t="s">
        <v>53</v>
      </c>
      <c r="C137" s="6">
        <v>24625.17726815683</v>
      </c>
      <c r="D137" s="6">
        <v>22402.32898192403</v>
      </c>
    </row>
    <row r="138" spans="1:4">
      <c r="A138" s="5">
        <v>45389</v>
      </c>
      <c r="B138" s="6" t="s">
        <v>54</v>
      </c>
      <c r="C138" s="6">
        <v>27712.48744103915</v>
      </c>
      <c r="D138" s="6">
        <v>25954.23387484891</v>
      </c>
    </row>
    <row r="139" spans="1:4">
      <c r="A139" s="5">
        <v>45389</v>
      </c>
      <c r="B139" s="6" t="s">
        <v>55</v>
      </c>
      <c r="C139" s="6">
        <v>25370.63791586124</v>
      </c>
      <c r="D139" s="6">
        <v>23120.79338346576</v>
      </c>
    </row>
    <row r="140" spans="1:4">
      <c r="A140" s="5">
        <v>45389</v>
      </c>
      <c r="B140" s="6" t="s">
        <v>56</v>
      </c>
      <c r="C140" s="6">
        <v>29862.50152581097</v>
      </c>
      <c r="D140" s="6">
        <v>26894.0115821436</v>
      </c>
    </row>
    <row r="141" spans="1:4">
      <c r="A141" s="5">
        <v>45389</v>
      </c>
      <c r="B141" s="6" t="s">
        <v>57</v>
      </c>
      <c r="C141" s="6">
        <v>28567.68025723916</v>
      </c>
      <c r="D141" s="6">
        <v>26349.33231165617</v>
      </c>
    </row>
    <row r="142" spans="1:4">
      <c r="A142" s="5">
        <v>45389</v>
      </c>
      <c r="B142" s="6" t="s">
        <v>58</v>
      </c>
      <c r="C142" s="6">
        <v>25280.20805118308</v>
      </c>
      <c r="D142" s="6">
        <v>24402.49471217337</v>
      </c>
    </row>
    <row r="143" spans="1:4">
      <c r="A143" s="5">
        <v>45389</v>
      </c>
      <c r="B143" s="6" t="s">
        <v>59</v>
      </c>
      <c r="C143" s="6">
        <v>27050.93191514909</v>
      </c>
      <c r="D143" s="6">
        <v>26699.19337134651</v>
      </c>
    </row>
    <row r="144" spans="1:4">
      <c r="A144" s="5">
        <v>45390</v>
      </c>
      <c r="B144" s="6" t="s">
        <v>40</v>
      </c>
      <c r="C144" s="6">
        <v>25347.37670620637</v>
      </c>
      <c r="D144" s="6">
        <v>25210.46157242745</v>
      </c>
    </row>
    <row r="145" spans="1:4">
      <c r="A145" s="5">
        <v>45390</v>
      </c>
      <c r="B145" s="6" t="s">
        <v>41</v>
      </c>
      <c r="C145" s="6">
        <v>27548.67149353721</v>
      </c>
      <c r="D145" s="6">
        <v>27737.65389157354</v>
      </c>
    </row>
    <row r="146" spans="1:4">
      <c r="A146" s="5">
        <v>45390</v>
      </c>
      <c r="B146" s="6" t="s">
        <v>42</v>
      </c>
      <c r="C146" s="6">
        <v>26712.65010428954</v>
      </c>
      <c r="D146" s="6">
        <v>23171.51078082008</v>
      </c>
    </row>
    <row r="147" spans="1:4">
      <c r="A147" s="5">
        <v>45390</v>
      </c>
      <c r="B147" s="6" t="s">
        <v>43</v>
      </c>
      <c r="C147" s="6">
        <v>26973.21484635507</v>
      </c>
      <c r="D147" s="6">
        <v>25233.36719086915</v>
      </c>
    </row>
    <row r="148" spans="1:4">
      <c r="A148" s="5">
        <v>45390</v>
      </c>
      <c r="B148" s="6" t="s">
        <v>44</v>
      </c>
      <c r="C148" s="6">
        <v>27354.355744891</v>
      </c>
      <c r="D148" s="6">
        <v>25743.59263168755</v>
      </c>
    </row>
    <row r="149" spans="1:4">
      <c r="A149" s="5">
        <v>45390</v>
      </c>
      <c r="B149" s="6" t="s">
        <v>45</v>
      </c>
      <c r="C149" s="6">
        <v>31257.48228253219</v>
      </c>
      <c r="D149" s="6">
        <v>27604.58012440904</v>
      </c>
    </row>
    <row r="150" spans="1:4">
      <c r="A150" s="5">
        <v>45390</v>
      </c>
      <c r="B150" s="6" t="s">
        <v>46</v>
      </c>
      <c r="C150" s="6">
        <v>24412.00461581418</v>
      </c>
      <c r="D150" s="6">
        <v>22416.64065875647</v>
      </c>
    </row>
    <row r="151" spans="1:4">
      <c r="A151" s="5">
        <v>45390</v>
      </c>
      <c r="B151" s="6" t="s">
        <v>47</v>
      </c>
      <c r="C151" s="6">
        <v>25546.29913180514</v>
      </c>
      <c r="D151" s="6">
        <v>23981.62024932781</v>
      </c>
    </row>
    <row r="152" spans="1:4">
      <c r="A152" s="5">
        <v>45390</v>
      </c>
      <c r="B152" s="6" t="s">
        <v>48</v>
      </c>
      <c r="C152" s="6">
        <v>27048.19844684365</v>
      </c>
      <c r="D152" s="6">
        <v>26493.74100629624</v>
      </c>
    </row>
    <row r="153" spans="1:4">
      <c r="A153" s="5">
        <v>45390</v>
      </c>
      <c r="B153" s="6" t="s">
        <v>49</v>
      </c>
      <c r="C153" s="6">
        <v>24304.62219767035</v>
      </c>
      <c r="D153" s="6">
        <v>23727.0214207741</v>
      </c>
    </row>
    <row r="154" spans="1:4">
      <c r="A154" s="5">
        <v>45390</v>
      </c>
      <c r="B154" s="6" t="s">
        <v>50</v>
      </c>
      <c r="C154" s="6">
        <v>28174.05746389184</v>
      </c>
      <c r="D154" s="6">
        <v>27413.35511302693</v>
      </c>
    </row>
    <row r="155" spans="1:4">
      <c r="A155" s="5">
        <v>45390</v>
      </c>
      <c r="B155" s="6" t="s">
        <v>51</v>
      </c>
      <c r="C155" s="6">
        <v>25309.08405919131</v>
      </c>
      <c r="D155" s="6">
        <v>21220.02942403936</v>
      </c>
    </row>
    <row r="156" spans="1:4">
      <c r="A156" s="5">
        <v>45390</v>
      </c>
      <c r="B156" s="6" t="s">
        <v>52</v>
      </c>
      <c r="C156" s="6">
        <v>25351.22699552038</v>
      </c>
      <c r="D156" s="6">
        <v>22071.11915092771</v>
      </c>
    </row>
    <row r="157" spans="1:4">
      <c r="A157" s="5">
        <v>45390</v>
      </c>
      <c r="B157" s="6" t="s">
        <v>53</v>
      </c>
      <c r="C157" s="6">
        <v>24725.46807180324</v>
      </c>
      <c r="D157" s="6">
        <v>22558.64851878824</v>
      </c>
    </row>
    <row r="158" spans="1:4">
      <c r="A158" s="5">
        <v>45390</v>
      </c>
      <c r="B158" s="6" t="s">
        <v>54</v>
      </c>
      <c r="C158" s="6">
        <v>27602.20554832666</v>
      </c>
      <c r="D158" s="6">
        <v>24936.97759180996</v>
      </c>
    </row>
    <row r="159" spans="1:4">
      <c r="A159" s="5">
        <v>45390</v>
      </c>
      <c r="B159" s="6" t="s">
        <v>55</v>
      </c>
      <c r="C159" s="6">
        <v>27250.68763441085</v>
      </c>
      <c r="D159" s="6">
        <v>24019.27512030741</v>
      </c>
    </row>
    <row r="160" spans="1:4">
      <c r="A160" s="5">
        <v>45390</v>
      </c>
      <c r="B160" s="6" t="s">
        <v>56</v>
      </c>
      <c r="C160" s="6">
        <v>27088.76941124355</v>
      </c>
      <c r="D160" s="6">
        <v>26630.143831995</v>
      </c>
    </row>
    <row r="161" spans="1:4">
      <c r="A161" s="5">
        <v>45390</v>
      </c>
      <c r="B161" s="6" t="s">
        <v>57</v>
      </c>
      <c r="C161" s="6">
        <v>28314.12675831339</v>
      </c>
      <c r="D161" s="6">
        <v>27500.58379063445</v>
      </c>
    </row>
    <row r="162" spans="1:4">
      <c r="A162" s="5">
        <v>45390</v>
      </c>
      <c r="B162" s="6" t="s">
        <v>58</v>
      </c>
      <c r="C162" s="6">
        <v>25550.61857284226</v>
      </c>
      <c r="D162" s="6">
        <v>23779.80632903771</v>
      </c>
    </row>
    <row r="163" spans="1:4">
      <c r="A163" s="5">
        <v>45390</v>
      </c>
      <c r="B163" s="6" t="s">
        <v>59</v>
      </c>
      <c r="C163" s="6">
        <v>24212.3999384395</v>
      </c>
      <c r="D163" s="6">
        <v>22649.33285641716</v>
      </c>
    </row>
    <row r="164" spans="1:4">
      <c r="A164" s="5">
        <v>45391</v>
      </c>
      <c r="B164" s="6" t="s">
        <v>40</v>
      </c>
      <c r="C164" s="6">
        <v>25202.76420952209</v>
      </c>
      <c r="D164" s="6">
        <v>23167.53327906044</v>
      </c>
    </row>
    <row r="165" spans="1:4">
      <c r="A165" s="5">
        <v>45391</v>
      </c>
      <c r="B165" s="6" t="s">
        <v>41</v>
      </c>
      <c r="C165" s="6">
        <v>27093.96656209502</v>
      </c>
      <c r="D165" s="6">
        <v>23060.36748294837</v>
      </c>
    </row>
    <row r="166" spans="1:4">
      <c r="A166" s="5">
        <v>45391</v>
      </c>
      <c r="B166" s="6" t="s">
        <v>42</v>
      </c>
      <c r="C166" s="6">
        <v>24085.63072505552</v>
      </c>
      <c r="D166" s="6">
        <v>19907.419523521</v>
      </c>
    </row>
    <row r="167" spans="1:4">
      <c r="A167" s="5">
        <v>45391</v>
      </c>
      <c r="B167" s="6" t="s">
        <v>43</v>
      </c>
      <c r="C167" s="6">
        <v>25596.30772694733</v>
      </c>
      <c r="D167" s="6">
        <v>23709.80504674249</v>
      </c>
    </row>
    <row r="168" spans="1:4">
      <c r="A168" s="5">
        <v>45391</v>
      </c>
      <c r="B168" s="6" t="s">
        <v>44</v>
      </c>
      <c r="C168" s="6">
        <v>30157.38822879357</v>
      </c>
      <c r="D168" s="6">
        <v>29641.26190478773</v>
      </c>
    </row>
    <row r="169" spans="1:4">
      <c r="A169" s="5">
        <v>45391</v>
      </c>
      <c r="B169" s="6" t="s">
        <v>45</v>
      </c>
      <c r="C169" s="6">
        <v>28322.42306766501</v>
      </c>
      <c r="D169" s="6">
        <v>25930.53489017351</v>
      </c>
    </row>
    <row r="170" spans="1:4">
      <c r="A170" s="5">
        <v>45391</v>
      </c>
      <c r="B170" s="6" t="s">
        <v>46</v>
      </c>
      <c r="C170" s="6">
        <v>24862.72745004342</v>
      </c>
      <c r="D170" s="6">
        <v>22634.89388942079</v>
      </c>
    </row>
    <row r="171" spans="1:4">
      <c r="A171" s="5">
        <v>45391</v>
      </c>
      <c r="B171" s="6" t="s">
        <v>47</v>
      </c>
      <c r="C171" s="6">
        <v>23605.8233253888</v>
      </c>
      <c r="D171" s="6">
        <v>22231.1327727444</v>
      </c>
    </row>
    <row r="172" spans="1:4">
      <c r="A172" s="5">
        <v>45391</v>
      </c>
      <c r="B172" s="6" t="s">
        <v>48</v>
      </c>
      <c r="C172" s="6">
        <v>26819.44959476979</v>
      </c>
      <c r="D172" s="6">
        <v>25050.76925082305</v>
      </c>
    </row>
    <row r="173" spans="1:4">
      <c r="A173" s="5">
        <v>45391</v>
      </c>
      <c r="B173" s="6" t="s">
        <v>49</v>
      </c>
      <c r="C173" s="6">
        <v>27995.81613505064</v>
      </c>
      <c r="D173" s="6">
        <v>26583.52256510754</v>
      </c>
    </row>
    <row r="174" spans="1:4">
      <c r="A174" s="5">
        <v>45391</v>
      </c>
      <c r="B174" s="6" t="s">
        <v>50</v>
      </c>
      <c r="C174" s="6">
        <v>29013.99710368685</v>
      </c>
      <c r="D174" s="6">
        <v>24235.32320355013</v>
      </c>
    </row>
    <row r="175" spans="1:4">
      <c r="A175" s="5">
        <v>45391</v>
      </c>
      <c r="B175" s="6" t="s">
        <v>51</v>
      </c>
      <c r="C175" s="6">
        <v>30193.59096178459</v>
      </c>
      <c r="D175" s="6">
        <v>25537.37596224568</v>
      </c>
    </row>
    <row r="176" spans="1:4">
      <c r="A176" s="5">
        <v>45391</v>
      </c>
      <c r="B176" s="6" t="s">
        <v>52</v>
      </c>
      <c r="C176" s="6">
        <v>23734.40914239591</v>
      </c>
      <c r="D176" s="6">
        <v>21592.59158137719</v>
      </c>
    </row>
    <row r="177" spans="1:4">
      <c r="A177" s="5">
        <v>45391</v>
      </c>
      <c r="B177" s="6" t="s">
        <v>53</v>
      </c>
      <c r="C177" s="6">
        <v>27945.12096569281</v>
      </c>
      <c r="D177" s="6">
        <v>25355.65953506533</v>
      </c>
    </row>
    <row r="178" spans="1:4">
      <c r="A178" s="5">
        <v>45391</v>
      </c>
      <c r="B178" s="6" t="s">
        <v>54</v>
      </c>
      <c r="C178" s="6">
        <v>24525.55604683577</v>
      </c>
      <c r="D178" s="6">
        <v>22995.35082108943</v>
      </c>
    </row>
    <row r="179" spans="1:4">
      <c r="A179" s="5">
        <v>45391</v>
      </c>
      <c r="B179" s="6" t="s">
        <v>55</v>
      </c>
      <c r="C179" s="6">
        <v>25499.31054029496</v>
      </c>
      <c r="D179" s="6">
        <v>24252.01324454521</v>
      </c>
    </row>
    <row r="180" spans="1:4">
      <c r="A180" s="5">
        <v>45391</v>
      </c>
      <c r="B180" s="6" t="s">
        <v>56</v>
      </c>
      <c r="C180" s="6">
        <v>26285.45801506624</v>
      </c>
      <c r="D180" s="6">
        <v>25416.78705597345</v>
      </c>
    </row>
    <row r="181" spans="1:4">
      <c r="A181" s="5">
        <v>45391</v>
      </c>
      <c r="B181" s="6" t="s">
        <v>57</v>
      </c>
      <c r="C181" s="6">
        <v>26060.78275769568</v>
      </c>
      <c r="D181" s="6">
        <v>24875.25711912174</v>
      </c>
    </row>
    <row r="182" spans="1:4">
      <c r="A182" s="5">
        <v>45391</v>
      </c>
      <c r="B182" s="6" t="s">
        <v>58</v>
      </c>
      <c r="C182" s="6">
        <v>25734.82383396499</v>
      </c>
      <c r="D182" s="6">
        <v>24834.44235245095</v>
      </c>
    </row>
    <row r="183" spans="1:4">
      <c r="A183" s="5">
        <v>45391</v>
      </c>
      <c r="B183" s="6" t="s">
        <v>59</v>
      </c>
      <c r="C183" s="6">
        <v>26102.77116082064</v>
      </c>
      <c r="D183" s="6">
        <v>23702.09657498498</v>
      </c>
    </row>
    <row r="184" spans="1:4">
      <c r="A184" s="5">
        <v>45392</v>
      </c>
      <c r="B184" s="6" t="s">
        <v>40</v>
      </c>
      <c r="C184" s="6">
        <v>23900.47553961668</v>
      </c>
      <c r="D184" s="6">
        <v>21651.6646166317</v>
      </c>
    </row>
    <row r="185" spans="1:4">
      <c r="A185" s="5">
        <v>45392</v>
      </c>
      <c r="B185" s="6" t="s">
        <v>41</v>
      </c>
      <c r="C185" s="6">
        <v>25664.86923585003</v>
      </c>
      <c r="D185" s="6">
        <v>22296.34722696387</v>
      </c>
    </row>
    <row r="186" spans="1:4">
      <c r="A186" s="5">
        <v>45392</v>
      </c>
      <c r="B186" s="6" t="s">
        <v>42</v>
      </c>
      <c r="C186" s="6">
        <v>26994.59338815431</v>
      </c>
      <c r="D186" s="6">
        <v>25583.94939310863</v>
      </c>
    </row>
    <row r="187" spans="1:4">
      <c r="A187" s="5">
        <v>45392</v>
      </c>
      <c r="B187" s="6" t="s">
        <v>43</v>
      </c>
      <c r="C187" s="6">
        <v>27824.56053000892</v>
      </c>
      <c r="D187" s="6">
        <v>25249.08873459472</v>
      </c>
    </row>
    <row r="188" spans="1:4">
      <c r="A188" s="5">
        <v>45392</v>
      </c>
      <c r="B188" s="6" t="s">
        <v>44</v>
      </c>
      <c r="C188" s="6">
        <v>26969.27462652112</v>
      </c>
      <c r="D188" s="6">
        <v>24448.2413296523</v>
      </c>
    </row>
    <row r="189" spans="1:4">
      <c r="A189" s="5">
        <v>45392</v>
      </c>
      <c r="B189" s="6" t="s">
        <v>45</v>
      </c>
      <c r="C189" s="6">
        <v>27376.81763029167</v>
      </c>
      <c r="D189" s="6">
        <v>25818.88206109057</v>
      </c>
    </row>
    <row r="190" spans="1:4">
      <c r="A190" s="5">
        <v>45392</v>
      </c>
      <c r="B190" s="6" t="s">
        <v>46</v>
      </c>
      <c r="C190" s="6">
        <v>25219.25567197974</v>
      </c>
      <c r="D190" s="6">
        <v>23929.9649489025</v>
      </c>
    </row>
    <row r="191" spans="1:4">
      <c r="A191" s="5">
        <v>45392</v>
      </c>
      <c r="B191" s="6" t="s">
        <v>47</v>
      </c>
      <c r="C191" s="6">
        <v>26329.97466602507</v>
      </c>
      <c r="D191" s="6">
        <v>25618.51634437353</v>
      </c>
    </row>
    <row r="192" spans="1:4">
      <c r="A192" s="5">
        <v>45392</v>
      </c>
      <c r="B192" s="6" t="s">
        <v>48</v>
      </c>
      <c r="C192" s="6">
        <v>28133.14772528976</v>
      </c>
      <c r="D192" s="6">
        <v>28405.90996092215</v>
      </c>
    </row>
    <row r="193" spans="1:4">
      <c r="A193" s="5">
        <v>45392</v>
      </c>
      <c r="B193" s="6" t="s">
        <v>49</v>
      </c>
      <c r="C193" s="6">
        <v>27316.46106298482</v>
      </c>
      <c r="D193" s="6">
        <v>24076.13429131583</v>
      </c>
    </row>
    <row r="194" spans="1:4">
      <c r="A194" s="5">
        <v>45392</v>
      </c>
      <c r="B194" s="6" t="s">
        <v>50</v>
      </c>
      <c r="C194" s="6">
        <v>27367.44019820433</v>
      </c>
      <c r="D194" s="6">
        <v>24533.60481224414</v>
      </c>
    </row>
    <row r="195" spans="1:4">
      <c r="A195" s="5">
        <v>45392</v>
      </c>
      <c r="B195" s="6" t="s">
        <v>51</v>
      </c>
      <c r="C195" s="6">
        <v>28712.12801809112</v>
      </c>
      <c r="D195" s="6">
        <v>25734.58747286506</v>
      </c>
    </row>
    <row r="196" spans="1:4">
      <c r="A196" s="5">
        <v>45392</v>
      </c>
      <c r="B196" s="6" t="s">
        <v>52</v>
      </c>
      <c r="C196" s="6">
        <v>23924.18262759257</v>
      </c>
      <c r="D196" s="6">
        <v>23065.96241965218</v>
      </c>
    </row>
    <row r="197" spans="1:4">
      <c r="A197" s="5">
        <v>45392</v>
      </c>
      <c r="B197" s="6" t="s">
        <v>53</v>
      </c>
      <c r="C197" s="6">
        <v>23519.24145247408</v>
      </c>
      <c r="D197" s="6">
        <v>21401.09363326181</v>
      </c>
    </row>
    <row r="198" spans="1:4">
      <c r="A198" s="5">
        <v>45392</v>
      </c>
      <c r="B198" s="6" t="s">
        <v>54</v>
      </c>
      <c r="C198" s="6">
        <v>25788.22574395541</v>
      </c>
      <c r="D198" s="6">
        <v>23901.7977666537</v>
      </c>
    </row>
    <row r="199" spans="1:4">
      <c r="A199" s="5">
        <v>45392</v>
      </c>
      <c r="B199" s="6" t="s">
        <v>55</v>
      </c>
      <c r="C199" s="6">
        <v>26495.21185499168</v>
      </c>
      <c r="D199" s="6">
        <v>24984.20427634901</v>
      </c>
    </row>
    <row r="200" spans="1:4">
      <c r="A200" s="5">
        <v>45392</v>
      </c>
      <c r="B200" s="6" t="s">
        <v>56</v>
      </c>
      <c r="C200" s="6">
        <v>28461.88174096001</v>
      </c>
      <c r="D200" s="6">
        <v>27605.61139793229</v>
      </c>
    </row>
    <row r="201" spans="1:4">
      <c r="A201" s="5">
        <v>45392</v>
      </c>
      <c r="B201" s="6" t="s">
        <v>57</v>
      </c>
      <c r="C201" s="6">
        <v>27986.10266585141</v>
      </c>
      <c r="D201" s="6">
        <v>26773.7951452455</v>
      </c>
    </row>
    <row r="202" spans="1:4">
      <c r="A202" s="5">
        <v>45392</v>
      </c>
      <c r="B202" s="6" t="s">
        <v>58</v>
      </c>
      <c r="C202" s="6">
        <v>23723.6023736598</v>
      </c>
      <c r="D202" s="6">
        <v>20957.55188621533</v>
      </c>
    </row>
    <row r="203" spans="1:4">
      <c r="A203" s="5">
        <v>45392</v>
      </c>
      <c r="B203" s="6" t="s">
        <v>59</v>
      </c>
      <c r="C203" s="6">
        <v>25575.52542951352</v>
      </c>
      <c r="D203" s="6">
        <v>21997.83945608975</v>
      </c>
    </row>
    <row r="204" spans="1:4">
      <c r="A204" s="5">
        <v>45393</v>
      </c>
      <c r="B204" s="6" t="s">
        <v>40</v>
      </c>
      <c r="C204" s="6">
        <v>23160.46856521634</v>
      </c>
      <c r="D204" s="6">
        <v>21436.51764991998</v>
      </c>
    </row>
    <row r="205" spans="1:4">
      <c r="A205" s="5">
        <v>45393</v>
      </c>
      <c r="B205" s="6" t="s">
        <v>41</v>
      </c>
      <c r="C205" s="6">
        <v>25119.03125055479</v>
      </c>
      <c r="D205" s="6">
        <v>22329.49087843324</v>
      </c>
    </row>
    <row r="206" spans="1:4">
      <c r="A206" s="5">
        <v>45393</v>
      </c>
      <c r="B206" s="6" t="s">
        <v>42</v>
      </c>
      <c r="C206" s="6">
        <v>26656.62607660767</v>
      </c>
      <c r="D206" s="6">
        <v>23281.52969637365</v>
      </c>
    </row>
    <row r="207" spans="1:4">
      <c r="A207" s="5">
        <v>45393</v>
      </c>
      <c r="B207" s="6" t="s">
        <v>43</v>
      </c>
      <c r="C207" s="6">
        <v>26160.87476427925</v>
      </c>
      <c r="D207" s="6">
        <v>24585.29935292224</v>
      </c>
    </row>
    <row r="208" spans="1:4">
      <c r="A208" s="5">
        <v>45393</v>
      </c>
      <c r="B208" s="6" t="s">
        <v>44</v>
      </c>
      <c r="C208" s="6">
        <v>29714.23030068034</v>
      </c>
      <c r="D208" s="6">
        <v>28240.99276552672</v>
      </c>
    </row>
    <row r="209" spans="1:4">
      <c r="A209" s="5">
        <v>45393</v>
      </c>
      <c r="B209" s="6" t="s">
        <v>45</v>
      </c>
      <c r="C209" s="6">
        <v>28403.90988427698</v>
      </c>
      <c r="D209" s="6">
        <v>27544.03146819209</v>
      </c>
    </row>
    <row r="210" spans="1:4">
      <c r="A210" s="5">
        <v>45393</v>
      </c>
      <c r="B210" s="6" t="s">
        <v>46</v>
      </c>
      <c r="C210" s="6">
        <v>23442.83889673915</v>
      </c>
      <c r="D210" s="6">
        <v>22845.61735639157</v>
      </c>
    </row>
    <row r="211" spans="1:4">
      <c r="A211" s="5">
        <v>45393</v>
      </c>
      <c r="B211" s="6" t="s">
        <v>47</v>
      </c>
      <c r="C211" s="6">
        <v>25896.50096110518</v>
      </c>
      <c r="D211" s="6">
        <v>25771.46559161867</v>
      </c>
    </row>
    <row r="212" spans="1:4">
      <c r="A212" s="5">
        <v>45393</v>
      </c>
      <c r="B212" s="6" t="s">
        <v>48</v>
      </c>
      <c r="C212" s="6">
        <v>26729.34964254864</v>
      </c>
      <c r="D212" s="6">
        <v>21382.85399151403</v>
      </c>
    </row>
    <row r="213" spans="1:4">
      <c r="A213" s="5">
        <v>45393</v>
      </c>
      <c r="B213" s="6" t="s">
        <v>49</v>
      </c>
      <c r="C213" s="6">
        <v>26906.77384175272</v>
      </c>
      <c r="D213" s="6">
        <v>24698.24495525213</v>
      </c>
    </row>
    <row r="214" spans="1:4">
      <c r="A214" s="5">
        <v>45393</v>
      </c>
      <c r="B214" s="6" t="s">
        <v>50</v>
      </c>
      <c r="C214" s="6">
        <v>28540.90618066814</v>
      </c>
      <c r="D214" s="6">
        <v>26504.44805772596</v>
      </c>
    </row>
    <row r="215" spans="1:4">
      <c r="A215" s="5">
        <v>45393</v>
      </c>
      <c r="B215" s="6" t="s">
        <v>51</v>
      </c>
      <c r="C215" s="6">
        <v>28695.95341184533</v>
      </c>
      <c r="D215" s="6">
        <v>26481.57335552169</v>
      </c>
    </row>
    <row r="216" spans="1:4">
      <c r="A216" s="5">
        <v>45393</v>
      </c>
      <c r="B216" s="6" t="s">
        <v>52</v>
      </c>
      <c r="C216" s="6">
        <v>25833.47396219533</v>
      </c>
      <c r="D216" s="6">
        <v>23459.00832853946</v>
      </c>
    </row>
    <row r="217" spans="1:4">
      <c r="A217" s="5">
        <v>45393</v>
      </c>
      <c r="B217" s="6" t="s">
        <v>53</v>
      </c>
      <c r="C217" s="6">
        <v>26509.53466110887</v>
      </c>
      <c r="D217" s="6">
        <v>24735.91289166942</v>
      </c>
    </row>
    <row r="218" spans="1:4">
      <c r="A218" s="5">
        <v>45393</v>
      </c>
      <c r="B218" s="6" t="s">
        <v>54</v>
      </c>
      <c r="C218" s="6">
        <v>26615.08420197859</v>
      </c>
      <c r="D218" s="6">
        <v>24624.74292150728</v>
      </c>
    </row>
    <row r="219" spans="1:4">
      <c r="A219" s="5">
        <v>45393</v>
      </c>
      <c r="B219" s="6" t="s">
        <v>55</v>
      </c>
      <c r="C219" s="6">
        <v>27932.13820815941</v>
      </c>
      <c r="D219" s="6">
        <v>26722.77943207901</v>
      </c>
    </row>
    <row r="220" spans="1:4">
      <c r="A220" s="5">
        <v>45393</v>
      </c>
      <c r="B220" s="6" t="s">
        <v>56</v>
      </c>
      <c r="C220" s="6">
        <v>29110.61824635567</v>
      </c>
      <c r="D220" s="6">
        <v>27134.61057786438</v>
      </c>
    </row>
    <row r="221" spans="1:4">
      <c r="A221" s="5">
        <v>45393</v>
      </c>
      <c r="B221" s="6" t="s">
        <v>57</v>
      </c>
      <c r="C221" s="6">
        <v>26967.74299773755</v>
      </c>
      <c r="D221" s="6">
        <v>24154.62728347235</v>
      </c>
    </row>
    <row r="222" spans="1:4">
      <c r="A222" s="5">
        <v>45393</v>
      </c>
      <c r="B222" s="6" t="s">
        <v>58</v>
      </c>
      <c r="C222" s="6">
        <v>24662.24518337016</v>
      </c>
      <c r="D222" s="6">
        <v>21432.92845189937</v>
      </c>
    </row>
    <row r="223" spans="1:4">
      <c r="A223" s="5">
        <v>45393</v>
      </c>
      <c r="B223" s="6" t="s">
        <v>59</v>
      </c>
      <c r="C223" s="6">
        <v>26126.31143193151</v>
      </c>
      <c r="D223" s="6">
        <v>23034.30688047155</v>
      </c>
    </row>
    <row r="224" spans="1:4">
      <c r="A224" s="5">
        <v>45394</v>
      </c>
      <c r="B224" s="6" t="s">
        <v>40</v>
      </c>
      <c r="C224" s="6">
        <v>25905.03764600153</v>
      </c>
      <c r="D224" s="6">
        <v>22301.6022547787</v>
      </c>
    </row>
    <row r="225" spans="1:4">
      <c r="A225" s="5">
        <v>45394</v>
      </c>
      <c r="B225" s="6" t="s">
        <v>41</v>
      </c>
      <c r="C225" s="6">
        <v>26397.56229652071</v>
      </c>
      <c r="D225" s="6">
        <v>23698.90357726769</v>
      </c>
    </row>
    <row r="226" spans="1:4">
      <c r="A226" s="5">
        <v>45394</v>
      </c>
      <c r="B226" s="6" t="s">
        <v>42</v>
      </c>
      <c r="C226" s="6">
        <v>26641.58820643384</v>
      </c>
      <c r="D226" s="6">
        <v>23511.14270005134</v>
      </c>
    </row>
    <row r="227" spans="1:4">
      <c r="A227" s="5">
        <v>45394</v>
      </c>
      <c r="B227" s="6" t="s">
        <v>43</v>
      </c>
      <c r="C227" s="6">
        <v>28331.92894103166</v>
      </c>
      <c r="D227" s="6">
        <v>24125.84678854838</v>
      </c>
    </row>
    <row r="228" spans="1:4">
      <c r="A228" s="5">
        <v>45394</v>
      </c>
      <c r="B228" s="6" t="s">
        <v>44</v>
      </c>
      <c r="C228" s="6">
        <v>28090.3649467308</v>
      </c>
      <c r="D228" s="6">
        <v>27093.09521120451</v>
      </c>
    </row>
    <row r="229" spans="1:4">
      <c r="A229" s="5">
        <v>45394</v>
      </c>
      <c r="B229" s="6" t="s">
        <v>45</v>
      </c>
      <c r="C229" s="6">
        <v>29777.83178900043</v>
      </c>
      <c r="D229" s="6">
        <v>28308.35901808947</v>
      </c>
    </row>
    <row r="230" spans="1:4">
      <c r="A230" s="5">
        <v>45394</v>
      </c>
      <c r="B230" s="6" t="s">
        <v>46</v>
      </c>
      <c r="C230" s="6">
        <v>24875.27734364811</v>
      </c>
      <c r="D230" s="6">
        <v>23440.8109950509</v>
      </c>
    </row>
    <row r="231" spans="1:4">
      <c r="A231" s="5">
        <v>45394</v>
      </c>
      <c r="B231" s="6" t="s">
        <v>47</v>
      </c>
      <c r="C231" s="6">
        <v>28194.71680172826</v>
      </c>
      <c r="D231" s="6">
        <v>24080.98166517876</v>
      </c>
    </row>
    <row r="232" spans="1:4">
      <c r="A232" s="5">
        <v>45394</v>
      </c>
      <c r="B232" s="6" t="s">
        <v>48</v>
      </c>
      <c r="C232" s="6">
        <v>25445.2107378537</v>
      </c>
      <c r="D232" s="6">
        <v>22898.59143478002</v>
      </c>
    </row>
    <row r="233" spans="1:4">
      <c r="A233" s="5">
        <v>45394</v>
      </c>
      <c r="B233" s="6" t="s">
        <v>49</v>
      </c>
      <c r="C233" s="6">
        <v>29172.89467047555</v>
      </c>
      <c r="D233" s="6">
        <v>24555.41208699454</v>
      </c>
    </row>
    <row r="234" spans="1:4">
      <c r="A234" s="5">
        <v>45394</v>
      </c>
      <c r="B234" s="6" t="s">
        <v>50</v>
      </c>
      <c r="C234" s="6">
        <v>26678.35802078189</v>
      </c>
      <c r="D234" s="6">
        <v>25192.08519038337</v>
      </c>
    </row>
    <row r="235" spans="1:4">
      <c r="A235" s="5">
        <v>45394</v>
      </c>
      <c r="B235" s="6" t="s">
        <v>51</v>
      </c>
      <c r="C235" s="6">
        <v>29924.35747349586</v>
      </c>
      <c r="D235" s="6">
        <v>27256.59249958736</v>
      </c>
    </row>
    <row r="236" spans="1:4">
      <c r="A236" s="5">
        <v>45394</v>
      </c>
      <c r="B236" s="6" t="s">
        <v>52</v>
      </c>
      <c r="C236" s="6">
        <v>25340.06679146121</v>
      </c>
      <c r="D236" s="6">
        <v>23649.27860978406</v>
      </c>
    </row>
    <row r="237" spans="1:4">
      <c r="A237" s="5">
        <v>45394</v>
      </c>
      <c r="B237" s="6" t="s">
        <v>53</v>
      </c>
      <c r="C237" s="6">
        <v>23445.13947438667</v>
      </c>
      <c r="D237" s="6">
        <v>22452.99298624056</v>
      </c>
    </row>
    <row r="238" spans="1:4">
      <c r="A238" s="5">
        <v>45394</v>
      </c>
      <c r="B238" s="6" t="s">
        <v>54</v>
      </c>
      <c r="C238" s="6">
        <v>26761.70982134168</v>
      </c>
      <c r="D238" s="6">
        <v>26873.58136622051</v>
      </c>
    </row>
    <row r="239" spans="1:4">
      <c r="A239" s="5">
        <v>45394</v>
      </c>
      <c r="B239" s="6" t="s">
        <v>55</v>
      </c>
      <c r="C239" s="6">
        <v>29186.53641329252</v>
      </c>
      <c r="D239" s="6">
        <v>28946.8897395491</v>
      </c>
    </row>
    <row r="240" spans="1:4">
      <c r="A240" s="5">
        <v>45394</v>
      </c>
      <c r="B240" s="6" t="s">
        <v>56</v>
      </c>
      <c r="C240" s="6">
        <v>27490.12661957948</v>
      </c>
      <c r="D240" s="6">
        <v>22915.89344731445</v>
      </c>
    </row>
    <row r="241" spans="1:4">
      <c r="A241" s="5">
        <v>45394</v>
      </c>
      <c r="B241" s="6" t="s">
        <v>57</v>
      </c>
      <c r="C241" s="6">
        <v>27483.53975147413</v>
      </c>
      <c r="D241" s="6">
        <v>24939.22405702738</v>
      </c>
    </row>
    <row r="242" spans="1:4">
      <c r="A242" s="5">
        <v>45394</v>
      </c>
      <c r="B242" s="6" t="s">
        <v>58</v>
      </c>
      <c r="C242" s="6">
        <v>23830.00545708638</v>
      </c>
      <c r="D242" s="6">
        <v>20082.07254940938</v>
      </c>
    </row>
    <row r="243" spans="1:4">
      <c r="A243" s="5">
        <v>45394</v>
      </c>
      <c r="B243" s="6" t="s">
        <v>59</v>
      </c>
      <c r="C243" s="6">
        <v>24912.00846257361</v>
      </c>
      <c r="D243" s="6">
        <v>22809.67700756664</v>
      </c>
    </row>
    <row r="244" spans="1:4">
      <c r="A244" s="5">
        <v>45395</v>
      </c>
      <c r="B244" s="6" t="s">
        <v>40</v>
      </c>
      <c r="C244" s="6">
        <v>23409.53851931265</v>
      </c>
      <c r="D244" s="6">
        <v>22068.80127472528</v>
      </c>
    </row>
    <row r="245" spans="1:4">
      <c r="A245" s="5">
        <v>45395</v>
      </c>
      <c r="B245" s="6" t="s">
        <v>41</v>
      </c>
      <c r="C245" s="6">
        <v>24070.50639849574</v>
      </c>
      <c r="D245" s="6">
        <v>21782.46663924563</v>
      </c>
    </row>
    <row r="246" spans="1:4">
      <c r="A246" s="5">
        <v>45395</v>
      </c>
      <c r="B246" s="6" t="s">
        <v>42</v>
      </c>
      <c r="C246" s="6">
        <v>26762.67842229755</v>
      </c>
      <c r="D246" s="6">
        <v>25277.7571033717</v>
      </c>
    </row>
    <row r="247" spans="1:4">
      <c r="A247" s="5">
        <v>45395</v>
      </c>
      <c r="B247" s="6" t="s">
        <v>43</v>
      </c>
      <c r="C247" s="6">
        <v>28484.27589063768</v>
      </c>
      <c r="D247" s="6">
        <v>28270.57901826382</v>
      </c>
    </row>
    <row r="248" spans="1:4">
      <c r="A248" s="5">
        <v>45395</v>
      </c>
      <c r="B248" s="6" t="s">
        <v>44</v>
      </c>
      <c r="C248" s="6">
        <v>26613.54631964962</v>
      </c>
      <c r="D248" s="6">
        <v>25393.90671650524</v>
      </c>
    </row>
    <row r="249" spans="1:4">
      <c r="A249" s="5">
        <v>45395</v>
      </c>
      <c r="B249" s="6" t="s">
        <v>45</v>
      </c>
      <c r="C249" s="6">
        <v>27151.29975534538</v>
      </c>
      <c r="D249" s="6">
        <v>25569.16226752496</v>
      </c>
    </row>
    <row r="250" spans="1:4">
      <c r="A250" s="5">
        <v>45395</v>
      </c>
      <c r="B250" s="6" t="s">
        <v>46</v>
      </c>
      <c r="C250" s="6">
        <v>24731.36156489175</v>
      </c>
      <c r="D250" s="6">
        <v>21468.00043992848</v>
      </c>
    </row>
    <row r="251" spans="1:4">
      <c r="A251" s="5">
        <v>45395</v>
      </c>
      <c r="B251" s="6" t="s">
        <v>47</v>
      </c>
      <c r="C251" s="6">
        <v>25665.38814004138</v>
      </c>
      <c r="D251" s="6">
        <v>22813.5645826744</v>
      </c>
    </row>
    <row r="252" spans="1:4">
      <c r="A252" s="5">
        <v>45395</v>
      </c>
      <c r="B252" s="6" t="s">
        <v>48</v>
      </c>
      <c r="C252" s="6">
        <v>23982.38144992394</v>
      </c>
      <c r="D252" s="6">
        <v>21610.09150568776</v>
      </c>
    </row>
    <row r="253" spans="1:4">
      <c r="A253" s="5">
        <v>45395</v>
      </c>
      <c r="B253" s="6" t="s">
        <v>49</v>
      </c>
      <c r="C253" s="6">
        <v>27136.53774432445</v>
      </c>
      <c r="D253" s="6">
        <v>23071.47146665698</v>
      </c>
    </row>
    <row r="254" spans="1:4">
      <c r="A254" s="5">
        <v>45395</v>
      </c>
      <c r="B254" s="6" t="s">
        <v>50</v>
      </c>
      <c r="C254" s="6">
        <v>28183.8753384273</v>
      </c>
      <c r="D254" s="6">
        <v>26597.63503797626</v>
      </c>
    </row>
    <row r="255" spans="1:4">
      <c r="A255" s="5">
        <v>45395</v>
      </c>
      <c r="B255" s="6" t="s">
        <v>51</v>
      </c>
      <c r="C255" s="6">
        <v>28738.30721545878</v>
      </c>
      <c r="D255" s="6">
        <v>26160.61784565319</v>
      </c>
    </row>
    <row r="256" spans="1:4">
      <c r="A256" s="5">
        <v>45395</v>
      </c>
      <c r="B256" s="6" t="s">
        <v>52</v>
      </c>
      <c r="C256" s="6">
        <v>25536.91275983979</v>
      </c>
      <c r="D256" s="6">
        <v>23423.20349363231</v>
      </c>
    </row>
    <row r="257" spans="1:4">
      <c r="A257" s="5">
        <v>45395</v>
      </c>
      <c r="B257" s="6" t="s">
        <v>53</v>
      </c>
      <c r="C257" s="6">
        <v>25646.77974343021</v>
      </c>
      <c r="D257" s="6">
        <v>24998.07613162424</v>
      </c>
    </row>
    <row r="258" spans="1:4">
      <c r="A258" s="5">
        <v>45395</v>
      </c>
      <c r="B258" s="6" t="s">
        <v>54</v>
      </c>
      <c r="C258" s="6">
        <v>28489.31359763282</v>
      </c>
      <c r="D258" s="6">
        <v>27613.41102876249</v>
      </c>
    </row>
    <row r="259" spans="1:4">
      <c r="A259" s="5">
        <v>45395</v>
      </c>
      <c r="B259" s="6" t="s">
        <v>55</v>
      </c>
      <c r="C259" s="6">
        <v>26995.03944784883</v>
      </c>
      <c r="D259" s="6">
        <v>24481.48065735717</v>
      </c>
    </row>
    <row r="260" spans="1:4">
      <c r="A260" s="5">
        <v>45395</v>
      </c>
      <c r="B260" s="6" t="s">
        <v>56</v>
      </c>
      <c r="C260" s="6">
        <v>27781.67897898125</v>
      </c>
      <c r="D260" s="6">
        <v>24011.72809731997</v>
      </c>
    </row>
    <row r="261" spans="1:4">
      <c r="A261" s="5">
        <v>45395</v>
      </c>
      <c r="B261" s="6" t="s">
        <v>57</v>
      </c>
      <c r="C261" s="6">
        <v>29064.54769005781</v>
      </c>
      <c r="D261" s="6">
        <v>25508.73676293328</v>
      </c>
    </row>
    <row r="262" spans="1:4">
      <c r="A262" s="5">
        <v>45395</v>
      </c>
      <c r="B262" s="6" t="s">
        <v>58</v>
      </c>
      <c r="C262" s="6">
        <v>25353.29314266655</v>
      </c>
      <c r="D262" s="6">
        <v>23169.63046799959</v>
      </c>
    </row>
    <row r="263" spans="1:4">
      <c r="A263" s="5">
        <v>45395</v>
      </c>
      <c r="B263" s="6" t="s">
        <v>59</v>
      </c>
      <c r="C263" s="6">
        <v>25797.58268058068</v>
      </c>
      <c r="D263" s="6">
        <v>24292.44084784246</v>
      </c>
    </row>
    <row r="264" spans="1:4">
      <c r="A264" s="5">
        <v>45396</v>
      </c>
      <c r="B264" s="6" t="s">
        <v>40</v>
      </c>
      <c r="C264" s="6">
        <v>23523.36931805611</v>
      </c>
      <c r="D264" s="6">
        <v>21584.62027649446</v>
      </c>
    </row>
    <row r="265" spans="1:4">
      <c r="A265" s="5">
        <v>45396</v>
      </c>
      <c r="B265" s="6" t="s">
        <v>41</v>
      </c>
      <c r="C265" s="6">
        <v>24862.18721948865</v>
      </c>
      <c r="D265" s="6">
        <v>22384.72315056287</v>
      </c>
    </row>
    <row r="266" spans="1:4">
      <c r="A266" s="5">
        <v>45396</v>
      </c>
      <c r="B266" s="6" t="s">
        <v>42</v>
      </c>
      <c r="C266" s="6">
        <v>26589.64919019918</v>
      </c>
      <c r="D266" s="6">
        <v>24493.07498322527</v>
      </c>
    </row>
    <row r="267" spans="1:4">
      <c r="A267" s="5">
        <v>45396</v>
      </c>
      <c r="B267" s="6" t="s">
        <v>43</v>
      </c>
      <c r="C267" s="6">
        <v>27344.60031468623</v>
      </c>
      <c r="D267" s="6">
        <v>26932.07512351993</v>
      </c>
    </row>
    <row r="268" spans="1:4">
      <c r="A268" s="5">
        <v>45396</v>
      </c>
      <c r="B268" s="6" t="s">
        <v>44</v>
      </c>
      <c r="C268" s="6">
        <v>27240.30925014097</v>
      </c>
      <c r="D268" s="6">
        <v>25009.38978733075</v>
      </c>
    </row>
    <row r="269" spans="1:4">
      <c r="A269" s="5">
        <v>45396</v>
      </c>
      <c r="B269" s="6" t="s">
        <v>45</v>
      </c>
      <c r="C269" s="6">
        <v>27337.24061539546</v>
      </c>
      <c r="D269" s="6">
        <v>24549.40932410951</v>
      </c>
    </row>
    <row r="270" spans="1:4">
      <c r="A270" s="5">
        <v>45396</v>
      </c>
      <c r="B270" s="6" t="s">
        <v>46</v>
      </c>
      <c r="C270" s="6">
        <v>24120.70289418838</v>
      </c>
      <c r="D270" s="6">
        <v>21789.42674420214</v>
      </c>
    </row>
    <row r="271" spans="1:4">
      <c r="A271" s="5">
        <v>45396</v>
      </c>
      <c r="B271" s="6" t="s">
        <v>47</v>
      </c>
      <c r="C271" s="6">
        <v>25114.14012997966</v>
      </c>
      <c r="D271" s="6">
        <v>22814.50708020171</v>
      </c>
    </row>
    <row r="272" spans="1:4">
      <c r="A272" s="5">
        <v>45396</v>
      </c>
      <c r="B272" s="6" t="s">
        <v>48</v>
      </c>
      <c r="C272" s="6">
        <v>24739.04571136896</v>
      </c>
      <c r="D272" s="6">
        <v>22431.34942146453</v>
      </c>
    </row>
    <row r="273" spans="1:4">
      <c r="A273" s="5">
        <v>45396</v>
      </c>
      <c r="B273" s="6" t="s">
        <v>49</v>
      </c>
      <c r="C273" s="6">
        <v>23677.38811111829</v>
      </c>
      <c r="D273" s="6">
        <v>20994.38425954144</v>
      </c>
    </row>
    <row r="274" spans="1:4">
      <c r="A274" s="5">
        <v>45396</v>
      </c>
      <c r="B274" s="6" t="s">
        <v>50</v>
      </c>
      <c r="C274" s="6">
        <v>26052.92807515393</v>
      </c>
      <c r="D274" s="6">
        <v>23562.02284909281</v>
      </c>
    </row>
    <row r="275" spans="1:4">
      <c r="A275" s="5">
        <v>45396</v>
      </c>
      <c r="B275" s="6" t="s">
        <v>51</v>
      </c>
      <c r="C275" s="6">
        <v>29286.78723534395</v>
      </c>
      <c r="D275" s="6">
        <v>28367.16046209569</v>
      </c>
    </row>
    <row r="276" spans="1:4">
      <c r="A276" s="5">
        <v>45396</v>
      </c>
      <c r="B276" s="6" t="s">
        <v>52</v>
      </c>
      <c r="C276" s="6">
        <v>24359.56541201992</v>
      </c>
      <c r="D276" s="6">
        <v>22539.60088675778</v>
      </c>
    </row>
    <row r="277" spans="1:4">
      <c r="A277" s="5">
        <v>45396</v>
      </c>
      <c r="B277" s="6" t="s">
        <v>53</v>
      </c>
      <c r="C277" s="6">
        <v>26448.32909372431</v>
      </c>
      <c r="D277" s="6">
        <v>24654.15264728016</v>
      </c>
    </row>
    <row r="278" spans="1:4">
      <c r="A278" s="5">
        <v>45396</v>
      </c>
      <c r="B278" s="6" t="s">
        <v>54</v>
      </c>
      <c r="C278" s="6">
        <v>25743.8926822333</v>
      </c>
      <c r="D278" s="6">
        <v>22934.02301100029</v>
      </c>
    </row>
    <row r="279" spans="1:4">
      <c r="A279" s="5">
        <v>45396</v>
      </c>
      <c r="B279" s="6" t="s">
        <v>55</v>
      </c>
      <c r="C279" s="6">
        <v>27422.408859059</v>
      </c>
      <c r="D279" s="6">
        <v>24507.01549847081</v>
      </c>
    </row>
    <row r="280" spans="1:4">
      <c r="A280" s="5">
        <v>45396</v>
      </c>
      <c r="B280" s="6" t="s">
        <v>56</v>
      </c>
      <c r="C280" s="6">
        <v>27721.03021427469</v>
      </c>
      <c r="D280" s="6">
        <v>26051.78785669528</v>
      </c>
    </row>
    <row r="281" spans="1:4">
      <c r="A281" s="5">
        <v>45396</v>
      </c>
      <c r="B281" s="6" t="s">
        <v>57</v>
      </c>
      <c r="C281" s="6">
        <v>30558.65308075899</v>
      </c>
      <c r="D281" s="6">
        <v>28875.67862568176</v>
      </c>
    </row>
    <row r="282" spans="1:4">
      <c r="A282" s="5">
        <v>45396</v>
      </c>
      <c r="B282" s="6" t="s">
        <v>58</v>
      </c>
      <c r="C282" s="6">
        <v>25079.86007987525</v>
      </c>
      <c r="D282" s="6">
        <v>23045.6897041894</v>
      </c>
    </row>
    <row r="283" spans="1:4">
      <c r="A283" s="5">
        <v>45396</v>
      </c>
      <c r="B283" s="6" t="s">
        <v>59</v>
      </c>
      <c r="C283" s="6">
        <v>25168.43098933344</v>
      </c>
      <c r="D283" s="6">
        <v>23361.57260083781</v>
      </c>
    </row>
    <row r="284" spans="1:4">
      <c r="A284" s="5">
        <v>45397</v>
      </c>
      <c r="B284" s="6" t="s">
        <v>40</v>
      </c>
      <c r="C284" s="6">
        <v>24266.30050733977</v>
      </c>
      <c r="D284" s="6">
        <v>22334.58814004805</v>
      </c>
    </row>
    <row r="285" spans="1:4">
      <c r="A285" s="5">
        <v>45397</v>
      </c>
      <c r="B285" s="6" t="s">
        <v>41</v>
      </c>
      <c r="C285" s="6">
        <v>23756.7258633985</v>
      </c>
      <c r="D285" s="6">
        <v>22461.140619293</v>
      </c>
    </row>
    <row r="286" spans="1:4">
      <c r="A286" s="5">
        <v>45397</v>
      </c>
      <c r="B286" s="6" t="s">
        <v>42</v>
      </c>
      <c r="C286" s="6">
        <v>29370.47713411286</v>
      </c>
      <c r="D286" s="6">
        <v>27678.63373470493</v>
      </c>
    </row>
    <row r="287" spans="1:4">
      <c r="A287" s="5">
        <v>45397</v>
      </c>
      <c r="B287" s="6" t="s">
        <v>43</v>
      </c>
      <c r="C287" s="6">
        <v>30733.59386414997</v>
      </c>
      <c r="D287" s="6">
        <v>29660.18968276733</v>
      </c>
    </row>
    <row r="288" spans="1:4">
      <c r="A288" s="5">
        <v>45397</v>
      </c>
      <c r="B288" s="6" t="s">
        <v>44</v>
      </c>
      <c r="C288" s="6">
        <v>26969.51875675656</v>
      </c>
      <c r="D288" s="6">
        <v>22423.32168493465</v>
      </c>
    </row>
    <row r="289" spans="1:4">
      <c r="A289" s="5">
        <v>45397</v>
      </c>
      <c r="B289" s="6" t="s">
        <v>45</v>
      </c>
      <c r="C289" s="6">
        <v>29053.75733144225</v>
      </c>
      <c r="D289" s="6">
        <v>25955.19201124032</v>
      </c>
    </row>
    <row r="290" spans="1:4">
      <c r="A290" s="5">
        <v>45397</v>
      </c>
      <c r="B290" s="6" t="s">
        <v>46</v>
      </c>
      <c r="C290" s="6">
        <v>24005.75590515333</v>
      </c>
      <c r="D290" s="6">
        <v>21379.12453480255</v>
      </c>
    </row>
    <row r="291" spans="1:4">
      <c r="A291" s="5">
        <v>45397</v>
      </c>
      <c r="B291" s="6" t="s">
        <v>47</v>
      </c>
      <c r="C291" s="6">
        <v>25003.32230708264</v>
      </c>
      <c r="D291" s="6">
        <v>22658.56665974625</v>
      </c>
    </row>
    <row r="292" spans="1:4">
      <c r="A292" s="5">
        <v>45397</v>
      </c>
      <c r="B292" s="6" t="s">
        <v>48</v>
      </c>
      <c r="C292" s="6">
        <v>26352.18659521061</v>
      </c>
      <c r="D292" s="6">
        <v>23919.85049586598</v>
      </c>
    </row>
    <row r="293" spans="1:4">
      <c r="A293" s="5">
        <v>45397</v>
      </c>
      <c r="B293" s="6" t="s">
        <v>49</v>
      </c>
      <c r="C293" s="6">
        <v>26148.28645965629</v>
      </c>
      <c r="D293" s="6">
        <v>24793.35238514301</v>
      </c>
    </row>
    <row r="294" spans="1:4">
      <c r="A294" s="5">
        <v>45397</v>
      </c>
      <c r="B294" s="6" t="s">
        <v>50</v>
      </c>
      <c r="C294" s="6">
        <v>28340.2457177208</v>
      </c>
      <c r="D294" s="6">
        <v>26936.94952782264</v>
      </c>
    </row>
    <row r="295" spans="1:4">
      <c r="A295" s="5">
        <v>45397</v>
      </c>
      <c r="B295" s="6" t="s">
        <v>51</v>
      </c>
      <c r="C295" s="6">
        <v>29194.11273302139</v>
      </c>
      <c r="D295" s="6">
        <v>26996.43883345018</v>
      </c>
    </row>
    <row r="296" spans="1:4">
      <c r="A296" s="5">
        <v>45397</v>
      </c>
      <c r="B296" s="6" t="s">
        <v>52</v>
      </c>
      <c r="C296" s="6">
        <v>25287.58886570032</v>
      </c>
      <c r="D296" s="6">
        <v>23900.17327797607</v>
      </c>
    </row>
    <row r="297" spans="1:4">
      <c r="A297" s="5">
        <v>45397</v>
      </c>
      <c r="B297" s="6" t="s">
        <v>53</v>
      </c>
      <c r="C297" s="6">
        <v>24908.89350578386</v>
      </c>
      <c r="D297" s="6">
        <v>22242.18910268574</v>
      </c>
    </row>
    <row r="298" spans="1:4">
      <c r="A298" s="5">
        <v>45397</v>
      </c>
      <c r="B298" s="6" t="s">
        <v>54</v>
      </c>
      <c r="C298" s="6">
        <v>24792.42276485378</v>
      </c>
      <c r="D298" s="6">
        <v>22880.93705344026</v>
      </c>
    </row>
    <row r="299" spans="1:4">
      <c r="A299" s="5">
        <v>45397</v>
      </c>
      <c r="B299" s="6" t="s">
        <v>55</v>
      </c>
      <c r="C299" s="6">
        <v>25725.98888364628</v>
      </c>
      <c r="D299" s="6">
        <v>23868.76140003473</v>
      </c>
    </row>
    <row r="300" spans="1:4">
      <c r="A300" s="5">
        <v>45397</v>
      </c>
      <c r="B300" s="6" t="s">
        <v>56</v>
      </c>
      <c r="C300" s="6">
        <v>26571.83082862572</v>
      </c>
      <c r="D300" s="6">
        <v>24195.3037260322</v>
      </c>
    </row>
    <row r="301" spans="1:4">
      <c r="A301" s="5">
        <v>45397</v>
      </c>
      <c r="B301" s="6" t="s">
        <v>57</v>
      </c>
      <c r="C301" s="6">
        <v>30567.47492429657</v>
      </c>
      <c r="D301" s="6">
        <v>28885.4856290869</v>
      </c>
    </row>
    <row r="302" spans="1:4">
      <c r="A302" s="5">
        <v>45397</v>
      </c>
      <c r="B302" s="6" t="s">
        <v>58</v>
      </c>
      <c r="C302" s="6">
        <v>24924.68666784875</v>
      </c>
      <c r="D302" s="6">
        <v>21667.61842181021</v>
      </c>
    </row>
    <row r="303" spans="1:4">
      <c r="A303" s="5">
        <v>45397</v>
      </c>
      <c r="B303" s="6" t="s">
        <v>59</v>
      </c>
      <c r="C303" s="6">
        <v>23295.52127485725</v>
      </c>
      <c r="D303" s="6">
        <v>22426.1907098311</v>
      </c>
    </row>
    <row r="304" spans="1:4">
      <c r="A304" s="5">
        <v>45398</v>
      </c>
      <c r="B304" s="6" t="s">
        <v>40</v>
      </c>
      <c r="C304" s="6">
        <v>24161.88483270516</v>
      </c>
      <c r="D304" s="6">
        <v>21805.22969656264</v>
      </c>
    </row>
    <row r="305" spans="1:4">
      <c r="A305" s="5">
        <v>45398</v>
      </c>
      <c r="B305" s="6" t="s">
        <v>41</v>
      </c>
      <c r="C305" s="6">
        <v>27484.80467745536</v>
      </c>
      <c r="D305" s="6">
        <v>26418.38700499029</v>
      </c>
    </row>
    <row r="306" spans="1:4">
      <c r="A306" s="5">
        <v>45398</v>
      </c>
      <c r="B306" s="6" t="s">
        <v>42</v>
      </c>
      <c r="C306" s="6">
        <v>25683.43934842099</v>
      </c>
      <c r="D306" s="6">
        <v>24273.71713951923</v>
      </c>
    </row>
    <row r="307" spans="1:4">
      <c r="A307" s="5">
        <v>45398</v>
      </c>
      <c r="B307" s="6" t="s">
        <v>43</v>
      </c>
      <c r="C307" s="6">
        <v>27312.840324736</v>
      </c>
      <c r="D307" s="6">
        <v>24780.04569705463</v>
      </c>
    </row>
    <row r="308" spans="1:4">
      <c r="A308" s="5">
        <v>45398</v>
      </c>
      <c r="B308" s="6" t="s">
        <v>44</v>
      </c>
      <c r="C308" s="6">
        <v>27138.67458948788</v>
      </c>
      <c r="D308" s="6">
        <v>23697.29754593742</v>
      </c>
    </row>
    <row r="309" spans="1:4">
      <c r="A309" s="5">
        <v>45398</v>
      </c>
      <c r="B309" s="6" t="s">
        <v>45</v>
      </c>
      <c r="C309" s="6">
        <v>30183.14363857861</v>
      </c>
      <c r="D309" s="6">
        <v>26193.874061049</v>
      </c>
    </row>
    <row r="310" spans="1:4">
      <c r="A310" s="5">
        <v>45398</v>
      </c>
      <c r="B310" s="6" t="s">
        <v>46</v>
      </c>
      <c r="C310" s="6">
        <v>25614.47743140122</v>
      </c>
      <c r="D310" s="6">
        <v>23113.17768778596</v>
      </c>
    </row>
    <row r="311" spans="1:4">
      <c r="A311" s="5">
        <v>45398</v>
      </c>
      <c r="B311" s="6" t="s">
        <v>47</v>
      </c>
      <c r="C311" s="6">
        <v>27003.80961250684</v>
      </c>
      <c r="D311" s="6">
        <v>24990.43651163882</v>
      </c>
    </row>
    <row r="312" spans="1:4">
      <c r="A312" s="5">
        <v>45398</v>
      </c>
      <c r="B312" s="6" t="s">
        <v>48</v>
      </c>
      <c r="C312" s="6">
        <v>24700.78159517373</v>
      </c>
      <c r="D312" s="6">
        <v>23981.34877011383</v>
      </c>
    </row>
    <row r="313" spans="1:4">
      <c r="A313" s="5">
        <v>45398</v>
      </c>
      <c r="B313" s="6" t="s">
        <v>49</v>
      </c>
      <c r="C313" s="6">
        <v>27332.76749103767</v>
      </c>
      <c r="D313" s="6">
        <v>27674.01998279688</v>
      </c>
    </row>
    <row r="314" spans="1:4">
      <c r="A314" s="5">
        <v>45398</v>
      </c>
      <c r="B314" s="6" t="s">
        <v>50</v>
      </c>
      <c r="C314" s="6">
        <v>26447.83354431603</v>
      </c>
      <c r="D314" s="6">
        <v>27770.22522153184</v>
      </c>
    </row>
    <row r="315" spans="1:4">
      <c r="A315" s="5">
        <v>45398</v>
      </c>
      <c r="B315" s="6" t="s">
        <v>51</v>
      </c>
      <c r="C315" s="6">
        <v>30155.39662241253</v>
      </c>
      <c r="D315" s="6">
        <v>29043.36911219107</v>
      </c>
    </row>
    <row r="316" spans="1:4">
      <c r="A316" s="5">
        <v>45398</v>
      </c>
      <c r="B316" s="6" t="s">
        <v>52</v>
      </c>
      <c r="C316" s="6">
        <v>25151.08269394985</v>
      </c>
      <c r="D316" s="6">
        <v>24137.15710256657</v>
      </c>
    </row>
    <row r="317" spans="1:4">
      <c r="A317" s="5">
        <v>45398</v>
      </c>
      <c r="B317" s="6" t="s">
        <v>53</v>
      </c>
      <c r="C317" s="6">
        <v>26713.96604514822</v>
      </c>
      <c r="D317" s="6">
        <v>23565.35433487699</v>
      </c>
    </row>
    <row r="318" spans="1:4">
      <c r="A318" s="5">
        <v>45398</v>
      </c>
      <c r="B318" s="6" t="s">
        <v>54</v>
      </c>
      <c r="C318" s="6">
        <v>26032.25644503661</v>
      </c>
      <c r="D318" s="6">
        <v>22859.60355078456</v>
      </c>
    </row>
    <row r="319" spans="1:4">
      <c r="A319" s="5">
        <v>45398</v>
      </c>
      <c r="B319" s="6" t="s">
        <v>55</v>
      </c>
      <c r="C319" s="6">
        <v>25351.42317064852</v>
      </c>
      <c r="D319" s="6">
        <v>22203.28047096996</v>
      </c>
    </row>
    <row r="320" spans="1:4">
      <c r="A320" s="5">
        <v>45398</v>
      </c>
      <c r="B320" s="6" t="s">
        <v>56</v>
      </c>
      <c r="C320" s="6">
        <v>26119.81178924038</v>
      </c>
      <c r="D320" s="6">
        <v>23866.22471908899</v>
      </c>
    </row>
    <row r="321" spans="1:4">
      <c r="A321" s="5">
        <v>45398</v>
      </c>
      <c r="B321" s="6" t="s">
        <v>57</v>
      </c>
      <c r="C321" s="6">
        <v>27421.15176535982</v>
      </c>
      <c r="D321" s="6">
        <v>26146.79795547075</v>
      </c>
    </row>
    <row r="322" spans="1:4">
      <c r="A322" s="5">
        <v>45398</v>
      </c>
      <c r="B322" s="6" t="s">
        <v>58</v>
      </c>
      <c r="C322" s="6">
        <v>23432.52286816789</v>
      </c>
      <c r="D322" s="6">
        <v>21854.76916018839</v>
      </c>
    </row>
    <row r="323" spans="1:4">
      <c r="A323" s="5">
        <v>45398</v>
      </c>
      <c r="B323" s="6" t="s">
        <v>59</v>
      </c>
      <c r="C323" s="6">
        <v>26672.84312300615</v>
      </c>
      <c r="D323" s="6">
        <v>24904.66075670817</v>
      </c>
    </row>
    <row r="324" spans="1:4">
      <c r="A324" s="5">
        <v>45399</v>
      </c>
      <c r="B324" s="6" t="s">
        <v>40</v>
      </c>
      <c r="C324" s="6">
        <v>24867.33998263133</v>
      </c>
      <c r="D324" s="6">
        <v>25049.70311049182</v>
      </c>
    </row>
    <row r="325" spans="1:4">
      <c r="A325" s="5">
        <v>45399</v>
      </c>
      <c r="B325" s="6" t="s">
        <v>41</v>
      </c>
      <c r="C325" s="6">
        <v>24449.84277690548</v>
      </c>
      <c r="D325" s="6">
        <v>24050.01806981278</v>
      </c>
    </row>
    <row r="326" spans="1:4">
      <c r="A326" s="5">
        <v>45399</v>
      </c>
      <c r="B326" s="6" t="s">
        <v>42</v>
      </c>
      <c r="C326" s="6">
        <v>26878.08707714001</v>
      </c>
      <c r="D326" s="6">
        <v>24596.53091263664</v>
      </c>
    </row>
    <row r="327" spans="1:4">
      <c r="A327" s="5">
        <v>45399</v>
      </c>
      <c r="B327" s="6" t="s">
        <v>43</v>
      </c>
      <c r="C327" s="6">
        <v>27469.11084068</v>
      </c>
      <c r="D327" s="6">
        <v>25024.08715438512</v>
      </c>
    </row>
    <row r="328" spans="1:4">
      <c r="A328" s="5">
        <v>45399</v>
      </c>
      <c r="B328" s="6" t="s">
        <v>44</v>
      </c>
      <c r="C328" s="6">
        <v>27947.9398228574</v>
      </c>
      <c r="D328" s="6">
        <v>25407.53670166005</v>
      </c>
    </row>
    <row r="329" spans="1:4">
      <c r="A329" s="5">
        <v>45399</v>
      </c>
      <c r="B329" s="6" t="s">
        <v>45</v>
      </c>
      <c r="C329" s="6">
        <v>29357.02114882613</v>
      </c>
      <c r="D329" s="6">
        <v>27247.16693912948</v>
      </c>
    </row>
    <row r="330" spans="1:4">
      <c r="A330" s="5">
        <v>45399</v>
      </c>
      <c r="B330" s="6" t="s">
        <v>46</v>
      </c>
      <c r="C330" s="6">
        <v>23161.64988276425</v>
      </c>
      <c r="D330" s="6">
        <v>21441.23995060072</v>
      </c>
    </row>
    <row r="331" spans="1:4">
      <c r="A331" s="5">
        <v>45399</v>
      </c>
      <c r="B331" s="6" t="s">
        <v>47</v>
      </c>
      <c r="C331" s="6">
        <v>25870.96000141996</v>
      </c>
      <c r="D331" s="6">
        <v>22944.97672158236</v>
      </c>
    </row>
    <row r="332" spans="1:4">
      <c r="A332" s="5">
        <v>45399</v>
      </c>
      <c r="B332" s="6" t="s">
        <v>48</v>
      </c>
      <c r="C332" s="6">
        <v>26012.98318427825</v>
      </c>
      <c r="D332" s="6">
        <v>23554.89413924332</v>
      </c>
    </row>
    <row r="333" spans="1:4">
      <c r="A333" s="5">
        <v>45399</v>
      </c>
      <c r="B333" s="6" t="s">
        <v>49</v>
      </c>
      <c r="C333" s="6">
        <v>26840.35558920884</v>
      </c>
      <c r="D333" s="6">
        <v>27029.85061248342</v>
      </c>
    </row>
    <row r="334" spans="1:4">
      <c r="A334" s="5">
        <v>45399</v>
      </c>
      <c r="B334" s="6" t="s">
        <v>50</v>
      </c>
      <c r="C334" s="6">
        <v>31365.66143857527</v>
      </c>
      <c r="D334" s="6">
        <v>31011.85718182515</v>
      </c>
    </row>
    <row r="335" spans="1:4">
      <c r="A335" s="5">
        <v>45399</v>
      </c>
      <c r="B335" s="6" t="s">
        <v>51</v>
      </c>
      <c r="C335" s="6">
        <v>27912.07882856232</v>
      </c>
      <c r="D335" s="6">
        <v>23228.43717782252</v>
      </c>
    </row>
    <row r="336" spans="1:4">
      <c r="A336" s="5">
        <v>45399</v>
      </c>
      <c r="B336" s="6" t="s">
        <v>52</v>
      </c>
      <c r="C336" s="6">
        <v>24663.37239296608</v>
      </c>
      <c r="D336" s="6">
        <v>23068.51719906108</v>
      </c>
    </row>
    <row r="337" spans="1:4">
      <c r="A337" s="5">
        <v>45399</v>
      </c>
      <c r="B337" s="6" t="s">
        <v>53</v>
      </c>
      <c r="C337" s="6">
        <v>22750.75681056822</v>
      </c>
      <c r="D337" s="6">
        <v>22351.75404027368</v>
      </c>
    </row>
    <row r="338" spans="1:4">
      <c r="A338" s="5">
        <v>45399</v>
      </c>
      <c r="B338" s="6" t="s">
        <v>54</v>
      </c>
      <c r="C338" s="6">
        <v>25548.92286321886</v>
      </c>
      <c r="D338" s="6">
        <v>23061.81077149748</v>
      </c>
    </row>
    <row r="339" spans="1:4">
      <c r="A339" s="5">
        <v>45399</v>
      </c>
      <c r="B339" s="6" t="s">
        <v>55</v>
      </c>
      <c r="C339" s="6">
        <v>29039.44611167758</v>
      </c>
      <c r="D339" s="6">
        <v>27589.29345963149</v>
      </c>
    </row>
    <row r="340" spans="1:4">
      <c r="A340" s="5">
        <v>45399</v>
      </c>
      <c r="B340" s="6" t="s">
        <v>56</v>
      </c>
      <c r="C340" s="6">
        <v>28016.32269384887</v>
      </c>
      <c r="D340" s="6">
        <v>25589.44367265077</v>
      </c>
    </row>
    <row r="341" spans="1:4">
      <c r="A341" s="5">
        <v>45399</v>
      </c>
      <c r="B341" s="6" t="s">
        <v>57</v>
      </c>
      <c r="C341" s="6">
        <v>26263.32411715823</v>
      </c>
      <c r="D341" s="6">
        <v>25751.28657517138</v>
      </c>
    </row>
    <row r="342" spans="1:4">
      <c r="A342" s="5">
        <v>45399</v>
      </c>
      <c r="B342" s="6" t="s">
        <v>58</v>
      </c>
      <c r="C342" s="6">
        <v>24018.82857962324</v>
      </c>
      <c r="D342" s="6">
        <v>23068.41853452265</v>
      </c>
    </row>
    <row r="343" spans="1:4">
      <c r="A343" s="5">
        <v>45399</v>
      </c>
      <c r="B343" s="6" t="s">
        <v>59</v>
      </c>
      <c r="C343" s="6">
        <v>24951.72273824845</v>
      </c>
      <c r="D343" s="6">
        <v>24029.47560853134</v>
      </c>
    </row>
    <row r="344" spans="1:4">
      <c r="A344" s="5">
        <v>45400</v>
      </c>
      <c r="B344" s="6" t="s">
        <v>40</v>
      </c>
      <c r="C344" s="6">
        <v>24152.66483037771</v>
      </c>
      <c r="D344" s="6">
        <v>23228.54016034418</v>
      </c>
    </row>
    <row r="345" spans="1:4">
      <c r="A345" s="5">
        <v>45400</v>
      </c>
      <c r="B345" s="6" t="s">
        <v>41</v>
      </c>
      <c r="C345" s="6">
        <v>25241.221566578</v>
      </c>
      <c r="D345" s="6">
        <v>23401.22338394902</v>
      </c>
    </row>
    <row r="346" spans="1:4">
      <c r="A346" s="5">
        <v>45400</v>
      </c>
      <c r="B346" s="6" t="s">
        <v>42</v>
      </c>
      <c r="C346" s="6">
        <v>25821.00575397511</v>
      </c>
      <c r="D346" s="6">
        <v>22472.31430271471</v>
      </c>
    </row>
    <row r="347" spans="1:4">
      <c r="A347" s="5">
        <v>45400</v>
      </c>
      <c r="B347" s="6" t="s">
        <v>43</v>
      </c>
      <c r="C347" s="6">
        <v>27506.61016811884</v>
      </c>
      <c r="D347" s="6">
        <v>27079.98156275553</v>
      </c>
    </row>
    <row r="348" spans="1:4">
      <c r="A348" s="5">
        <v>45400</v>
      </c>
      <c r="B348" s="6" t="s">
        <v>44</v>
      </c>
      <c r="C348" s="6">
        <v>26146.44278696468</v>
      </c>
      <c r="D348" s="6">
        <v>22788.10139336071</v>
      </c>
    </row>
    <row r="349" spans="1:4">
      <c r="A349" s="5">
        <v>45400</v>
      </c>
      <c r="B349" s="6" t="s">
        <v>45</v>
      </c>
      <c r="C349" s="6">
        <v>29258.99670166616</v>
      </c>
      <c r="D349" s="6">
        <v>26758.04133263438</v>
      </c>
    </row>
    <row r="350" spans="1:4">
      <c r="A350" s="5">
        <v>45400</v>
      </c>
      <c r="B350" s="6" t="s">
        <v>46</v>
      </c>
      <c r="C350" s="6">
        <v>23390.35897868298</v>
      </c>
      <c r="D350" s="6">
        <v>20726.42568085054</v>
      </c>
    </row>
    <row r="351" spans="1:4">
      <c r="A351" s="5">
        <v>45400</v>
      </c>
      <c r="B351" s="6" t="s">
        <v>47</v>
      </c>
      <c r="C351" s="6">
        <v>27423.50872817529</v>
      </c>
      <c r="D351" s="6">
        <v>26511.69539740433</v>
      </c>
    </row>
    <row r="352" spans="1:4">
      <c r="A352" s="5">
        <v>45400</v>
      </c>
      <c r="B352" s="6" t="s">
        <v>48</v>
      </c>
      <c r="C352" s="6">
        <v>27252.14121556406</v>
      </c>
      <c r="D352" s="6">
        <v>25826.98394298868</v>
      </c>
    </row>
    <row r="353" spans="1:4">
      <c r="A353" s="5">
        <v>45400</v>
      </c>
      <c r="B353" s="6" t="s">
        <v>49</v>
      </c>
      <c r="C353" s="6">
        <v>24965.38194505095</v>
      </c>
      <c r="D353" s="6">
        <v>24173.12442247851</v>
      </c>
    </row>
    <row r="354" spans="1:4">
      <c r="A354" s="5">
        <v>45400</v>
      </c>
      <c r="B354" s="6" t="s">
        <v>50</v>
      </c>
      <c r="C354" s="6">
        <v>31104.00704247078</v>
      </c>
      <c r="D354" s="6">
        <v>26871.83353316383</v>
      </c>
    </row>
    <row r="355" spans="1:4">
      <c r="A355" s="5">
        <v>45400</v>
      </c>
      <c r="B355" s="6" t="s">
        <v>51</v>
      </c>
      <c r="C355" s="6">
        <v>29391.26358961155</v>
      </c>
      <c r="D355" s="6">
        <v>25992.39549397873</v>
      </c>
    </row>
    <row r="356" spans="1:4">
      <c r="A356" s="5">
        <v>45400</v>
      </c>
      <c r="B356" s="6" t="s">
        <v>52</v>
      </c>
      <c r="C356" s="6">
        <v>23493.27762848999</v>
      </c>
      <c r="D356" s="6">
        <v>21176.80966237286</v>
      </c>
    </row>
    <row r="357" spans="1:4">
      <c r="A357" s="5">
        <v>45400</v>
      </c>
      <c r="B357" s="6" t="s">
        <v>53</v>
      </c>
      <c r="C357" s="6">
        <v>26272.84214132831</v>
      </c>
      <c r="D357" s="6">
        <v>24566.47224378762</v>
      </c>
    </row>
    <row r="358" spans="1:4">
      <c r="A358" s="5">
        <v>45400</v>
      </c>
      <c r="B358" s="6" t="s">
        <v>54</v>
      </c>
      <c r="C358" s="6">
        <v>24922.86907691099</v>
      </c>
      <c r="D358" s="6">
        <v>22446.6595445031</v>
      </c>
    </row>
    <row r="359" spans="1:4">
      <c r="A359" s="5">
        <v>45400</v>
      </c>
      <c r="B359" s="6" t="s">
        <v>55</v>
      </c>
      <c r="C359" s="6">
        <v>28539.79060530662</v>
      </c>
      <c r="D359" s="6">
        <v>29343.62432659901</v>
      </c>
    </row>
    <row r="360" spans="1:4">
      <c r="A360" s="5">
        <v>45400</v>
      </c>
      <c r="B360" s="6" t="s">
        <v>56</v>
      </c>
      <c r="C360" s="6">
        <v>29004.93078189659</v>
      </c>
      <c r="D360" s="6">
        <v>28612.03915073567</v>
      </c>
    </row>
    <row r="361" spans="1:4">
      <c r="A361" s="5">
        <v>45400</v>
      </c>
      <c r="B361" s="6" t="s">
        <v>57</v>
      </c>
      <c r="C361" s="6">
        <v>28403.24814691709</v>
      </c>
      <c r="D361" s="6">
        <v>26893.99411048214</v>
      </c>
    </row>
    <row r="362" spans="1:4">
      <c r="A362" s="5">
        <v>45400</v>
      </c>
      <c r="B362" s="6" t="s">
        <v>58</v>
      </c>
      <c r="C362" s="6">
        <v>23676.90543155353</v>
      </c>
      <c r="D362" s="6">
        <v>22540.21763250288</v>
      </c>
    </row>
    <row r="363" spans="1:4">
      <c r="A363" s="5">
        <v>45400</v>
      </c>
      <c r="B363" s="6" t="s">
        <v>59</v>
      </c>
      <c r="C363" s="6">
        <v>25284.95247928056</v>
      </c>
      <c r="D363" s="6">
        <v>21990.94350899138</v>
      </c>
    </row>
    <row r="364" spans="1:4">
      <c r="A364" s="5">
        <v>45401</v>
      </c>
      <c r="B364" s="6" t="s">
        <v>40</v>
      </c>
      <c r="C364" s="6">
        <v>26706.64343372679</v>
      </c>
      <c r="D364" s="6">
        <v>24498.40728794726</v>
      </c>
    </row>
    <row r="365" spans="1:4">
      <c r="A365" s="5">
        <v>45401</v>
      </c>
      <c r="B365" s="6" t="s">
        <v>41</v>
      </c>
      <c r="C365" s="6">
        <v>23951.94999258379</v>
      </c>
      <c r="D365" s="6">
        <v>20272.49040552073</v>
      </c>
    </row>
    <row r="366" spans="1:4">
      <c r="A366" s="5">
        <v>45401</v>
      </c>
      <c r="B366" s="6" t="s">
        <v>42</v>
      </c>
      <c r="C366" s="6">
        <v>26069.31406500252</v>
      </c>
      <c r="D366" s="6">
        <v>24373.40108903298</v>
      </c>
    </row>
    <row r="367" spans="1:4">
      <c r="A367" s="5">
        <v>45401</v>
      </c>
      <c r="B367" s="6" t="s">
        <v>43</v>
      </c>
      <c r="C367" s="6">
        <v>26012.34854367097</v>
      </c>
      <c r="D367" s="6">
        <v>23389.85886129222</v>
      </c>
    </row>
    <row r="368" spans="1:4">
      <c r="A368" s="5">
        <v>45401</v>
      </c>
      <c r="B368" s="6" t="s">
        <v>44</v>
      </c>
      <c r="C368" s="6">
        <v>27432.14331517111</v>
      </c>
      <c r="D368" s="6">
        <v>25653.97249117588</v>
      </c>
    </row>
    <row r="369" spans="1:4">
      <c r="A369" s="5">
        <v>45401</v>
      </c>
      <c r="B369" s="6" t="s">
        <v>45</v>
      </c>
      <c r="C369" s="6">
        <v>30128.35623061817</v>
      </c>
      <c r="D369" s="6">
        <v>28775.16072934258</v>
      </c>
    </row>
    <row r="370" spans="1:4">
      <c r="A370" s="5">
        <v>45401</v>
      </c>
      <c r="B370" s="6" t="s">
        <v>46</v>
      </c>
      <c r="C370" s="6">
        <v>23984.33847570451</v>
      </c>
      <c r="D370" s="6">
        <v>23260.63067085025</v>
      </c>
    </row>
    <row r="371" spans="1:4">
      <c r="A371" s="5">
        <v>45401</v>
      </c>
      <c r="B371" s="6" t="s">
        <v>47</v>
      </c>
      <c r="C371" s="6">
        <v>26564.36538015699</v>
      </c>
      <c r="D371" s="6">
        <v>23428.92030136789</v>
      </c>
    </row>
    <row r="372" spans="1:4">
      <c r="A372" s="5">
        <v>45401</v>
      </c>
      <c r="B372" s="6" t="s">
        <v>48</v>
      </c>
      <c r="C372" s="6">
        <v>25192.79468414089</v>
      </c>
      <c r="D372" s="6">
        <v>23852.12722824264</v>
      </c>
    </row>
    <row r="373" spans="1:4">
      <c r="A373" s="5">
        <v>45401</v>
      </c>
      <c r="B373" s="6" t="s">
        <v>49</v>
      </c>
      <c r="C373" s="6">
        <v>27437.98816104982</v>
      </c>
      <c r="D373" s="6">
        <v>23046.97954450897</v>
      </c>
    </row>
    <row r="374" spans="1:4">
      <c r="A374" s="5">
        <v>45401</v>
      </c>
      <c r="B374" s="6" t="s">
        <v>50</v>
      </c>
      <c r="C374" s="6">
        <v>26952.9455004732</v>
      </c>
      <c r="D374" s="6">
        <v>23701.63655944775</v>
      </c>
    </row>
    <row r="375" spans="1:4">
      <c r="A375" s="5">
        <v>45401</v>
      </c>
      <c r="B375" s="6" t="s">
        <v>51</v>
      </c>
      <c r="C375" s="6">
        <v>26096.84308147772</v>
      </c>
      <c r="D375" s="6">
        <v>25648.00875259651</v>
      </c>
    </row>
    <row r="376" spans="1:4">
      <c r="A376" s="5">
        <v>45401</v>
      </c>
      <c r="B376" s="6" t="s">
        <v>52</v>
      </c>
      <c r="C376" s="6">
        <v>24249.03918112183</v>
      </c>
      <c r="D376" s="6">
        <v>21933.83678976984</v>
      </c>
    </row>
    <row r="377" spans="1:4">
      <c r="A377" s="5">
        <v>45401</v>
      </c>
      <c r="B377" s="6" t="s">
        <v>53</v>
      </c>
      <c r="C377" s="6">
        <v>25664.39148067338</v>
      </c>
      <c r="D377" s="6">
        <v>23255.17966579947</v>
      </c>
    </row>
    <row r="378" spans="1:4">
      <c r="A378" s="5">
        <v>45401</v>
      </c>
      <c r="B378" s="6" t="s">
        <v>54</v>
      </c>
      <c r="C378" s="6">
        <v>26525.31218194514</v>
      </c>
      <c r="D378" s="6">
        <v>23829.64133448131</v>
      </c>
    </row>
    <row r="379" spans="1:4">
      <c r="A379" s="5">
        <v>45401</v>
      </c>
      <c r="B379" s="6" t="s">
        <v>55</v>
      </c>
      <c r="C379" s="6">
        <v>27472.02943956144</v>
      </c>
      <c r="D379" s="6">
        <v>25675.92775352051</v>
      </c>
    </row>
    <row r="380" spans="1:4">
      <c r="A380" s="5">
        <v>45401</v>
      </c>
      <c r="B380" s="6" t="s">
        <v>56</v>
      </c>
      <c r="C380" s="6">
        <v>26821.79100020213</v>
      </c>
      <c r="D380" s="6">
        <v>24724.20717508914</v>
      </c>
    </row>
    <row r="381" spans="1:4">
      <c r="A381" s="5">
        <v>45401</v>
      </c>
      <c r="B381" s="6" t="s">
        <v>57</v>
      </c>
      <c r="C381" s="6">
        <v>29748.29887286438</v>
      </c>
      <c r="D381" s="6">
        <v>28961.08923720614</v>
      </c>
    </row>
    <row r="382" spans="1:4">
      <c r="A382" s="5">
        <v>45401</v>
      </c>
      <c r="B382" s="6" t="s">
        <v>58</v>
      </c>
      <c r="C382" s="6">
        <v>23703.58890316974</v>
      </c>
      <c r="D382" s="6">
        <v>21526.3425139828</v>
      </c>
    </row>
    <row r="383" spans="1:4">
      <c r="A383" s="5">
        <v>45401</v>
      </c>
      <c r="B383" s="6" t="s">
        <v>59</v>
      </c>
      <c r="C383" s="6">
        <v>28970.86392157727</v>
      </c>
      <c r="D383" s="6">
        <v>26542.54643857604</v>
      </c>
    </row>
    <row r="384" spans="1:4">
      <c r="A384" s="5">
        <v>45402</v>
      </c>
      <c r="B384" s="6" t="s">
        <v>40</v>
      </c>
      <c r="C384" s="6">
        <v>25223.19366261991</v>
      </c>
      <c r="D384" s="6">
        <v>20885.77052991152</v>
      </c>
    </row>
    <row r="385" spans="1:4">
      <c r="A385" s="5">
        <v>45402</v>
      </c>
      <c r="B385" s="6" t="s">
        <v>41</v>
      </c>
      <c r="C385" s="6">
        <v>25855.41631452326</v>
      </c>
      <c r="D385" s="6">
        <v>22615.21395683405</v>
      </c>
    </row>
    <row r="386" spans="1:4">
      <c r="A386" s="5">
        <v>45402</v>
      </c>
      <c r="B386" s="6" t="s">
        <v>42</v>
      </c>
      <c r="C386" s="6">
        <v>25213.7462065482</v>
      </c>
      <c r="D386" s="6">
        <v>23111.34975334251</v>
      </c>
    </row>
    <row r="387" spans="1:4">
      <c r="A387" s="5">
        <v>45402</v>
      </c>
      <c r="B387" s="6" t="s">
        <v>43</v>
      </c>
      <c r="C387" s="6">
        <v>28866.66313512865</v>
      </c>
      <c r="D387" s="6">
        <v>26727.27246021962</v>
      </c>
    </row>
    <row r="388" spans="1:4">
      <c r="A388" s="5">
        <v>45402</v>
      </c>
      <c r="B388" s="6" t="s">
        <v>44</v>
      </c>
      <c r="C388" s="6">
        <v>25740.46230204853</v>
      </c>
      <c r="D388" s="6">
        <v>23580.23167451558</v>
      </c>
    </row>
    <row r="389" spans="1:4">
      <c r="A389" s="5">
        <v>45402</v>
      </c>
      <c r="B389" s="6" t="s">
        <v>45</v>
      </c>
      <c r="C389" s="6">
        <v>27405.6476438485</v>
      </c>
      <c r="D389" s="6">
        <v>24686.51115763636</v>
      </c>
    </row>
    <row r="390" spans="1:4">
      <c r="A390" s="5">
        <v>45402</v>
      </c>
      <c r="B390" s="6" t="s">
        <v>46</v>
      </c>
      <c r="C390" s="6">
        <v>24580.71057700999</v>
      </c>
      <c r="D390" s="6">
        <v>23056.73912044096</v>
      </c>
    </row>
    <row r="391" spans="1:4">
      <c r="A391" s="5">
        <v>45402</v>
      </c>
      <c r="B391" s="6" t="s">
        <v>47</v>
      </c>
      <c r="C391" s="6">
        <v>26750.59370333423</v>
      </c>
      <c r="D391" s="6">
        <v>27126.4560655631</v>
      </c>
    </row>
    <row r="392" spans="1:4">
      <c r="A392" s="5">
        <v>45402</v>
      </c>
      <c r="B392" s="6" t="s">
        <v>48</v>
      </c>
      <c r="C392" s="6">
        <v>24646.51537562825</v>
      </c>
      <c r="D392" s="6">
        <v>21579.48863784356</v>
      </c>
    </row>
    <row r="393" spans="1:4">
      <c r="A393" s="5">
        <v>45402</v>
      </c>
      <c r="B393" s="6" t="s">
        <v>49</v>
      </c>
      <c r="C393" s="6">
        <v>27443.48157787423</v>
      </c>
      <c r="D393" s="6">
        <v>26946.60574843977</v>
      </c>
    </row>
    <row r="394" spans="1:4">
      <c r="A394" s="5">
        <v>45402</v>
      </c>
      <c r="B394" s="6" t="s">
        <v>50</v>
      </c>
      <c r="C394" s="6">
        <v>25886.83482738337</v>
      </c>
      <c r="D394" s="6">
        <v>25002.28830157039</v>
      </c>
    </row>
    <row r="395" spans="1:4">
      <c r="A395" s="5">
        <v>45402</v>
      </c>
      <c r="B395" s="6" t="s">
        <v>51</v>
      </c>
      <c r="C395" s="6">
        <v>28587.92933663515</v>
      </c>
      <c r="D395" s="6">
        <v>24706.77823073415</v>
      </c>
    </row>
    <row r="396" spans="1:4">
      <c r="A396" s="5">
        <v>45402</v>
      </c>
      <c r="B396" s="6" t="s">
        <v>52</v>
      </c>
      <c r="C396" s="6">
        <v>24009.34859584768</v>
      </c>
      <c r="D396" s="6">
        <v>21840.34828248886</v>
      </c>
    </row>
    <row r="397" spans="1:4">
      <c r="A397" s="5">
        <v>45402</v>
      </c>
      <c r="B397" s="6" t="s">
        <v>53</v>
      </c>
      <c r="C397" s="6">
        <v>26423.29014191165</v>
      </c>
      <c r="D397" s="6">
        <v>22973.57253257511</v>
      </c>
    </row>
    <row r="398" spans="1:4">
      <c r="A398" s="5">
        <v>45402</v>
      </c>
      <c r="B398" s="6" t="s">
        <v>54</v>
      </c>
      <c r="C398" s="6">
        <v>27212.68047637436</v>
      </c>
      <c r="D398" s="6">
        <v>26134.99664870382</v>
      </c>
    </row>
    <row r="399" spans="1:4">
      <c r="A399" s="5">
        <v>45402</v>
      </c>
      <c r="B399" s="6" t="s">
        <v>55</v>
      </c>
      <c r="C399" s="6">
        <v>27733.04799011803</v>
      </c>
      <c r="D399" s="6">
        <v>27166.80130543127</v>
      </c>
    </row>
    <row r="400" spans="1:4">
      <c r="A400" s="5">
        <v>45402</v>
      </c>
      <c r="B400" s="6" t="s">
        <v>56</v>
      </c>
      <c r="C400" s="6">
        <v>27497.46061337983</v>
      </c>
      <c r="D400" s="6">
        <v>26894.02522999166</v>
      </c>
    </row>
    <row r="401" spans="1:4">
      <c r="A401" s="5">
        <v>45402</v>
      </c>
      <c r="B401" s="6" t="s">
        <v>57</v>
      </c>
      <c r="C401" s="6">
        <v>29616.94276386598</v>
      </c>
      <c r="D401" s="6">
        <v>26275.03626267819</v>
      </c>
    </row>
    <row r="402" spans="1:4">
      <c r="A402" s="5">
        <v>45402</v>
      </c>
      <c r="B402" s="6" t="s">
        <v>58</v>
      </c>
      <c r="C402" s="6">
        <v>25276.64152487871</v>
      </c>
      <c r="D402" s="6">
        <v>23058.71009213993</v>
      </c>
    </row>
    <row r="403" spans="1:4">
      <c r="A403" s="5">
        <v>45402</v>
      </c>
      <c r="B403" s="6" t="s">
        <v>59</v>
      </c>
      <c r="C403" s="6">
        <v>24840.7308890705</v>
      </c>
      <c r="D403" s="6">
        <v>21109.16243512833</v>
      </c>
    </row>
    <row r="404" spans="1:4">
      <c r="A404" s="5">
        <v>45403</v>
      </c>
      <c r="B404" s="6" t="s">
        <v>40</v>
      </c>
      <c r="C404" s="6">
        <v>24482.84543519928</v>
      </c>
      <c r="D404" s="6">
        <v>22022.08857439813</v>
      </c>
    </row>
    <row r="405" spans="1:4">
      <c r="A405" s="5">
        <v>45403</v>
      </c>
      <c r="B405" s="6" t="s">
        <v>41</v>
      </c>
      <c r="C405" s="6">
        <v>25801.6782857599</v>
      </c>
      <c r="D405" s="6">
        <v>23241.20666571624</v>
      </c>
    </row>
    <row r="406" spans="1:4">
      <c r="A406" s="5">
        <v>45403</v>
      </c>
      <c r="B406" s="6" t="s">
        <v>42</v>
      </c>
      <c r="C406" s="6">
        <v>26854.76358751017</v>
      </c>
      <c r="D406" s="6">
        <v>25916.55091966769</v>
      </c>
    </row>
    <row r="407" spans="1:4">
      <c r="A407" s="5">
        <v>45403</v>
      </c>
      <c r="B407" s="6" t="s">
        <v>43</v>
      </c>
      <c r="C407" s="6">
        <v>27012.0846661983</v>
      </c>
      <c r="D407" s="6">
        <v>24714.23033452857</v>
      </c>
    </row>
    <row r="408" spans="1:4">
      <c r="A408" s="5">
        <v>45403</v>
      </c>
      <c r="B408" s="6" t="s">
        <v>44</v>
      </c>
      <c r="C408" s="6">
        <v>28827.9799474822</v>
      </c>
      <c r="D408" s="6">
        <v>27459.23444313087</v>
      </c>
    </row>
    <row r="409" spans="1:4">
      <c r="A409" s="5">
        <v>45403</v>
      </c>
      <c r="B409" s="6" t="s">
        <v>45</v>
      </c>
      <c r="C409" s="6">
        <v>29908.49600152955</v>
      </c>
      <c r="D409" s="6">
        <v>29310.29718503834</v>
      </c>
    </row>
    <row r="410" spans="1:4">
      <c r="A410" s="5">
        <v>45403</v>
      </c>
      <c r="B410" s="6" t="s">
        <v>46</v>
      </c>
      <c r="C410" s="6">
        <v>24047.25422018363</v>
      </c>
      <c r="D410" s="6">
        <v>22184.03796208493</v>
      </c>
    </row>
    <row r="411" spans="1:4">
      <c r="A411" s="5">
        <v>45403</v>
      </c>
      <c r="B411" s="6" t="s">
        <v>47</v>
      </c>
      <c r="C411" s="6">
        <v>24464.62409533114</v>
      </c>
      <c r="D411" s="6">
        <v>22030.15278758716</v>
      </c>
    </row>
    <row r="412" spans="1:4">
      <c r="A412" s="5">
        <v>45403</v>
      </c>
      <c r="B412" s="6" t="s">
        <v>48</v>
      </c>
      <c r="C412" s="6">
        <v>25699.3922004216</v>
      </c>
      <c r="D412" s="6">
        <v>23407.55204178757</v>
      </c>
    </row>
    <row r="413" spans="1:4">
      <c r="A413" s="5">
        <v>45403</v>
      </c>
      <c r="B413" s="6" t="s">
        <v>49</v>
      </c>
      <c r="C413" s="6">
        <v>26056.97224689843</v>
      </c>
      <c r="D413" s="6">
        <v>23285.15959556923</v>
      </c>
    </row>
    <row r="414" spans="1:4">
      <c r="A414" s="5">
        <v>45403</v>
      </c>
      <c r="B414" s="6" t="s">
        <v>50</v>
      </c>
      <c r="C414" s="6">
        <v>26632.40346315328</v>
      </c>
      <c r="D414" s="6">
        <v>24260.51457244865</v>
      </c>
    </row>
    <row r="415" spans="1:4">
      <c r="A415" s="5">
        <v>45403</v>
      </c>
      <c r="B415" s="6" t="s">
        <v>51</v>
      </c>
      <c r="C415" s="6">
        <v>28202.32005385715</v>
      </c>
      <c r="D415" s="6">
        <v>26631.07482998813</v>
      </c>
    </row>
    <row r="416" spans="1:4">
      <c r="A416" s="5">
        <v>45403</v>
      </c>
      <c r="B416" s="6" t="s">
        <v>52</v>
      </c>
      <c r="C416" s="6">
        <v>24695.02112396415</v>
      </c>
      <c r="D416" s="6">
        <v>22636.67360142868</v>
      </c>
    </row>
    <row r="417" spans="1:4">
      <c r="A417" s="5">
        <v>45403</v>
      </c>
      <c r="B417" s="6" t="s">
        <v>53</v>
      </c>
      <c r="C417" s="6">
        <v>25007.38622413967</v>
      </c>
      <c r="D417" s="6">
        <v>22505.88221747049</v>
      </c>
    </row>
    <row r="418" spans="1:4">
      <c r="A418" s="5">
        <v>45403</v>
      </c>
      <c r="B418" s="6" t="s">
        <v>54</v>
      </c>
      <c r="C418" s="6">
        <v>25425.45160759734</v>
      </c>
      <c r="D418" s="6">
        <v>24222.00630797744</v>
      </c>
    </row>
    <row r="419" spans="1:4">
      <c r="A419" s="5">
        <v>45403</v>
      </c>
      <c r="B419" s="6" t="s">
        <v>55</v>
      </c>
      <c r="C419" s="6">
        <v>26443.54129516798</v>
      </c>
      <c r="D419" s="6">
        <v>26763.29920500772</v>
      </c>
    </row>
    <row r="420" spans="1:4">
      <c r="A420" s="5">
        <v>45403</v>
      </c>
      <c r="B420" s="6" t="s">
        <v>56</v>
      </c>
      <c r="C420" s="6">
        <v>27303.1368111131</v>
      </c>
      <c r="D420" s="6">
        <v>22481.43454069199</v>
      </c>
    </row>
    <row r="421" spans="1:4">
      <c r="A421" s="5">
        <v>45403</v>
      </c>
      <c r="B421" s="6" t="s">
        <v>57</v>
      </c>
      <c r="C421" s="6">
        <v>28804.30477503367</v>
      </c>
      <c r="D421" s="6">
        <v>24728.06856016448</v>
      </c>
    </row>
    <row r="422" spans="1:4">
      <c r="A422" s="5">
        <v>45403</v>
      </c>
      <c r="B422" s="6" t="s">
        <v>58</v>
      </c>
      <c r="C422" s="6">
        <v>25588.42503051533</v>
      </c>
      <c r="D422" s="6">
        <v>22867.49115150625</v>
      </c>
    </row>
    <row r="423" spans="1:4">
      <c r="A423" s="5">
        <v>45403</v>
      </c>
      <c r="B423" s="6" t="s">
        <v>59</v>
      </c>
      <c r="C423" s="6">
        <v>24784.37537858507</v>
      </c>
      <c r="D423" s="6">
        <v>22781.89561869324</v>
      </c>
    </row>
    <row r="424" spans="1:4">
      <c r="A424" s="5">
        <v>45404</v>
      </c>
      <c r="B424" s="6" t="s">
        <v>40</v>
      </c>
      <c r="C424" s="6">
        <v>23840.58760018102</v>
      </c>
      <c r="D424" s="6">
        <v>21672.89336329183</v>
      </c>
    </row>
    <row r="425" spans="1:4">
      <c r="A425" s="5">
        <v>45404</v>
      </c>
      <c r="B425" s="6" t="s">
        <v>41</v>
      </c>
      <c r="C425" s="6">
        <v>23465.74658634391</v>
      </c>
      <c r="D425" s="6">
        <v>20883.29410182054</v>
      </c>
    </row>
    <row r="426" spans="1:4">
      <c r="A426" s="5">
        <v>45404</v>
      </c>
      <c r="B426" s="6" t="s">
        <v>42</v>
      </c>
      <c r="C426" s="6">
        <v>26070.89797414894</v>
      </c>
      <c r="D426" s="6">
        <v>24294.52698475728</v>
      </c>
    </row>
    <row r="427" spans="1:4">
      <c r="A427" s="5">
        <v>45404</v>
      </c>
      <c r="B427" s="6" t="s">
        <v>43</v>
      </c>
      <c r="C427" s="6">
        <v>25974.91992389915</v>
      </c>
      <c r="D427" s="6">
        <v>23731.68013799566</v>
      </c>
    </row>
    <row r="428" spans="1:4">
      <c r="A428" s="5">
        <v>45404</v>
      </c>
      <c r="B428" s="6" t="s">
        <v>44</v>
      </c>
      <c r="C428" s="6">
        <v>30266.83734065108</v>
      </c>
      <c r="D428" s="6">
        <v>28680.70989308624</v>
      </c>
    </row>
    <row r="429" spans="1:4">
      <c r="A429" s="5">
        <v>45404</v>
      </c>
      <c r="B429" s="6" t="s">
        <v>45</v>
      </c>
      <c r="C429" s="6">
        <v>28954.90254185076</v>
      </c>
      <c r="D429" s="6">
        <v>28517.17384727574</v>
      </c>
    </row>
    <row r="430" spans="1:4">
      <c r="A430" s="5">
        <v>45404</v>
      </c>
      <c r="B430" s="6" t="s">
        <v>46</v>
      </c>
      <c r="C430" s="6">
        <v>25583.48072951801</v>
      </c>
      <c r="D430" s="6">
        <v>24434.07416141763</v>
      </c>
    </row>
    <row r="431" spans="1:4">
      <c r="A431" s="5">
        <v>45404</v>
      </c>
      <c r="B431" s="6" t="s">
        <v>47</v>
      </c>
      <c r="C431" s="6">
        <v>27218.71842346805</v>
      </c>
      <c r="D431" s="6">
        <v>24285.84004307462</v>
      </c>
    </row>
    <row r="432" spans="1:4">
      <c r="A432" s="5">
        <v>45404</v>
      </c>
      <c r="B432" s="6" t="s">
        <v>48</v>
      </c>
      <c r="C432" s="6">
        <v>25465.72919924644</v>
      </c>
      <c r="D432" s="6">
        <v>21237.88069825204</v>
      </c>
    </row>
    <row r="433" spans="1:4">
      <c r="A433" s="5">
        <v>45404</v>
      </c>
      <c r="B433" s="6" t="s">
        <v>49</v>
      </c>
      <c r="C433" s="6">
        <v>26139.11126915408</v>
      </c>
      <c r="D433" s="6">
        <v>24143.44219590565</v>
      </c>
    </row>
    <row r="434" spans="1:4">
      <c r="A434" s="5">
        <v>45404</v>
      </c>
      <c r="B434" s="6" t="s">
        <v>50</v>
      </c>
      <c r="C434" s="6">
        <v>27022.5310247018</v>
      </c>
      <c r="D434" s="6">
        <v>24161.70690557139</v>
      </c>
    </row>
    <row r="435" spans="1:4">
      <c r="A435" s="5">
        <v>45404</v>
      </c>
      <c r="B435" s="6" t="s">
        <v>51</v>
      </c>
      <c r="C435" s="6">
        <v>30502.42016690348</v>
      </c>
      <c r="D435" s="6">
        <v>29683.40193123119</v>
      </c>
    </row>
    <row r="436" spans="1:4">
      <c r="A436" s="5">
        <v>45404</v>
      </c>
      <c r="B436" s="6" t="s">
        <v>52</v>
      </c>
      <c r="C436" s="6">
        <v>24661.36187220366</v>
      </c>
      <c r="D436" s="6">
        <v>23305.60646775095</v>
      </c>
    </row>
    <row r="437" spans="1:4">
      <c r="A437" s="5">
        <v>45404</v>
      </c>
      <c r="B437" s="6" t="s">
        <v>53</v>
      </c>
      <c r="C437" s="6">
        <v>26158.11631955937</v>
      </c>
      <c r="D437" s="6">
        <v>24070.95151224547</v>
      </c>
    </row>
    <row r="438" spans="1:4">
      <c r="A438" s="5">
        <v>45404</v>
      </c>
      <c r="B438" s="6" t="s">
        <v>54</v>
      </c>
      <c r="C438" s="6">
        <v>30177.62532906453</v>
      </c>
      <c r="D438" s="6">
        <v>29878.57349003477</v>
      </c>
    </row>
    <row r="439" spans="1:4">
      <c r="A439" s="5">
        <v>45404</v>
      </c>
      <c r="B439" s="6" t="s">
        <v>55</v>
      </c>
      <c r="C439" s="6">
        <v>27538.32943097825</v>
      </c>
      <c r="D439" s="6">
        <v>24444.96205532428</v>
      </c>
    </row>
    <row r="440" spans="1:4">
      <c r="A440" s="5">
        <v>45404</v>
      </c>
      <c r="B440" s="6" t="s">
        <v>56</v>
      </c>
      <c r="C440" s="6">
        <v>29036.74133707035</v>
      </c>
      <c r="D440" s="6">
        <v>27680.96019714167</v>
      </c>
    </row>
    <row r="441" spans="1:4">
      <c r="A441" s="5">
        <v>45404</v>
      </c>
      <c r="B441" s="6" t="s">
        <v>57</v>
      </c>
      <c r="C441" s="6">
        <v>29906.97294682314</v>
      </c>
      <c r="D441" s="6">
        <v>25295.46262543049</v>
      </c>
    </row>
    <row r="442" spans="1:4">
      <c r="A442" s="5">
        <v>45404</v>
      </c>
      <c r="B442" s="6" t="s">
        <v>58</v>
      </c>
      <c r="C442" s="6">
        <v>24979.7619118814</v>
      </c>
      <c r="D442" s="6">
        <v>23005.05773638805</v>
      </c>
    </row>
    <row r="443" spans="1:4">
      <c r="A443" s="5">
        <v>45404</v>
      </c>
      <c r="B443" s="6" t="s">
        <v>59</v>
      </c>
      <c r="C443" s="6">
        <v>27718.95539430386</v>
      </c>
      <c r="D443" s="6">
        <v>26410.9777613286</v>
      </c>
    </row>
    <row r="444" spans="1:4">
      <c r="A444" s="5">
        <v>45405</v>
      </c>
      <c r="B444" s="6" t="s">
        <v>40</v>
      </c>
      <c r="C444" s="6">
        <v>24936.66572648334</v>
      </c>
      <c r="D444" s="6">
        <v>23179.72833058701</v>
      </c>
    </row>
    <row r="445" spans="1:4">
      <c r="A445" s="5">
        <v>45405</v>
      </c>
      <c r="B445" s="6" t="s">
        <v>41</v>
      </c>
      <c r="C445" s="6">
        <v>24217.46326226561</v>
      </c>
      <c r="D445" s="6">
        <v>20327.40375187044</v>
      </c>
    </row>
    <row r="446" spans="1:4">
      <c r="A446" s="5">
        <v>45405</v>
      </c>
      <c r="B446" s="6" t="s">
        <v>42</v>
      </c>
      <c r="C446" s="6">
        <v>27097.67773908878</v>
      </c>
      <c r="D446" s="6">
        <v>24814.33254164278</v>
      </c>
    </row>
    <row r="447" spans="1:4">
      <c r="A447" s="5">
        <v>45405</v>
      </c>
      <c r="B447" s="6" t="s">
        <v>43</v>
      </c>
      <c r="C447" s="6">
        <v>28541.35251400258</v>
      </c>
      <c r="D447" s="6">
        <v>27170.65977503786</v>
      </c>
    </row>
    <row r="448" spans="1:4">
      <c r="A448" s="5">
        <v>45405</v>
      </c>
      <c r="B448" s="6" t="s">
        <v>44</v>
      </c>
      <c r="C448" s="6">
        <v>26443.76718122719</v>
      </c>
      <c r="D448" s="6">
        <v>25236.99929882526</v>
      </c>
    </row>
    <row r="449" spans="1:4">
      <c r="A449" s="5">
        <v>45405</v>
      </c>
      <c r="B449" s="6" t="s">
        <v>45</v>
      </c>
      <c r="C449" s="6">
        <v>31189.92010301037</v>
      </c>
      <c r="D449" s="6">
        <v>28335.76534045551</v>
      </c>
    </row>
    <row r="450" spans="1:4">
      <c r="A450" s="5">
        <v>45405</v>
      </c>
      <c r="B450" s="6" t="s">
        <v>46</v>
      </c>
      <c r="C450" s="6">
        <v>25125.1158755177</v>
      </c>
      <c r="D450" s="6">
        <v>21542.89083711596</v>
      </c>
    </row>
    <row r="451" spans="1:4">
      <c r="A451" s="5">
        <v>45405</v>
      </c>
      <c r="B451" s="6" t="s">
        <v>47</v>
      </c>
      <c r="C451" s="6">
        <v>25890.03379514521</v>
      </c>
      <c r="D451" s="6">
        <v>23268.19823135784</v>
      </c>
    </row>
    <row r="452" spans="1:4">
      <c r="A452" s="5">
        <v>45405</v>
      </c>
      <c r="B452" s="6" t="s">
        <v>48</v>
      </c>
      <c r="C452" s="6">
        <v>26934.06357421307</v>
      </c>
      <c r="D452" s="6">
        <v>25700.98381395072</v>
      </c>
    </row>
    <row r="453" spans="1:4">
      <c r="A453" s="5">
        <v>45405</v>
      </c>
      <c r="B453" s="6" t="s">
        <v>49</v>
      </c>
      <c r="C453" s="6">
        <v>28351.93763502499</v>
      </c>
      <c r="D453" s="6">
        <v>26483.03368659634</v>
      </c>
    </row>
    <row r="454" spans="1:4">
      <c r="A454" s="5">
        <v>45405</v>
      </c>
      <c r="B454" s="6" t="s">
        <v>50</v>
      </c>
      <c r="C454" s="6">
        <v>30025.51208394186</v>
      </c>
      <c r="D454" s="6">
        <v>28558.30088073173</v>
      </c>
    </row>
    <row r="455" spans="1:4">
      <c r="A455" s="5">
        <v>45405</v>
      </c>
      <c r="B455" s="6" t="s">
        <v>51</v>
      </c>
      <c r="C455" s="6">
        <v>28977.36917957973</v>
      </c>
      <c r="D455" s="6">
        <v>25806.35852993158</v>
      </c>
    </row>
    <row r="456" spans="1:4">
      <c r="A456" s="5">
        <v>45405</v>
      </c>
      <c r="B456" s="6" t="s">
        <v>52</v>
      </c>
      <c r="C456" s="6">
        <v>22199.5040830095</v>
      </c>
      <c r="D456" s="6">
        <v>19787.18647890423</v>
      </c>
    </row>
    <row r="457" spans="1:4">
      <c r="A457" s="5">
        <v>45405</v>
      </c>
      <c r="B457" s="6" t="s">
        <v>53</v>
      </c>
      <c r="C457" s="6">
        <v>28377.6490233601</v>
      </c>
      <c r="D457" s="6">
        <v>27066.67184184494</v>
      </c>
    </row>
    <row r="458" spans="1:4">
      <c r="A458" s="5">
        <v>45405</v>
      </c>
      <c r="B458" s="6" t="s">
        <v>54</v>
      </c>
      <c r="C458" s="6">
        <v>25966.71471511171</v>
      </c>
      <c r="D458" s="6">
        <v>24129.58156309156</v>
      </c>
    </row>
    <row r="459" spans="1:4">
      <c r="A459" s="5">
        <v>45405</v>
      </c>
      <c r="B459" s="6" t="s">
        <v>55</v>
      </c>
      <c r="C459" s="6">
        <v>25786.61178814727</v>
      </c>
      <c r="D459" s="6">
        <v>22992.23902160239</v>
      </c>
    </row>
    <row r="460" spans="1:4">
      <c r="A460" s="5">
        <v>45405</v>
      </c>
      <c r="B460" s="6" t="s">
        <v>56</v>
      </c>
      <c r="C460" s="6">
        <v>27189.07386152578</v>
      </c>
      <c r="D460" s="6">
        <v>24567.06969008243</v>
      </c>
    </row>
    <row r="461" spans="1:4">
      <c r="A461" s="5">
        <v>45405</v>
      </c>
      <c r="B461" s="6" t="s">
        <v>57</v>
      </c>
      <c r="C461" s="6">
        <v>30362.18957583344</v>
      </c>
      <c r="D461" s="6">
        <v>27227.00796219744</v>
      </c>
    </row>
    <row r="462" spans="1:4">
      <c r="A462" s="5">
        <v>45405</v>
      </c>
      <c r="B462" s="6" t="s">
        <v>58</v>
      </c>
      <c r="C462" s="6">
        <v>24243.71304095005</v>
      </c>
      <c r="D462" s="6">
        <v>22060.17417283995</v>
      </c>
    </row>
    <row r="463" spans="1:4">
      <c r="A463" s="5">
        <v>45405</v>
      </c>
      <c r="B463" s="6" t="s">
        <v>59</v>
      </c>
      <c r="C463" s="6">
        <v>25326.66426363608</v>
      </c>
      <c r="D463" s="6">
        <v>23347.51079413522</v>
      </c>
    </row>
    <row r="464" spans="1:4">
      <c r="A464" s="5">
        <v>45406</v>
      </c>
      <c r="B464" s="6" t="s">
        <v>40</v>
      </c>
      <c r="C464" s="6">
        <v>23713.26568118557</v>
      </c>
      <c r="D464" s="6">
        <v>23442.86052487648</v>
      </c>
    </row>
    <row r="465" spans="1:4">
      <c r="A465" s="5">
        <v>45406</v>
      </c>
      <c r="B465" s="6" t="s">
        <v>41</v>
      </c>
      <c r="C465" s="6">
        <v>23303.30601988889</v>
      </c>
      <c r="D465" s="6">
        <v>21138.22940316897</v>
      </c>
    </row>
    <row r="466" spans="1:4">
      <c r="A466" s="5">
        <v>45406</v>
      </c>
      <c r="B466" s="6" t="s">
        <v>42</v>
      </c>
      <c r="C466" s="6">
        <v>26267.37304040556</v>
      </c>
      <c r="D466" s="6">
        <v>26398.53235270155</v>
      </c>
    </row>
    <row r="467" spans="1:4">
      <c r="A467" s="5">
        <v>45406</v>
      </c>
      <c r="B467" s="6" t="s">
        <v>43</v>
      </c>
      <c r="C467" s="6">
        <v>28625.40989614656</v>
      </c>
      <c r="D467" s="6">
        <v>25853.20362273948</v>
      </c>
    </row>
    <row r="468" spans="1:4">
      <c r="A468" s="5">
        <v>45406</v>
      </c>
      <c r="B468" s="6" t="s">
        <v>44</v>
      </c>
      <c r="C468" s="6">
        <v>29134.38989506269</v>
      </c>
      <c r="D468" s="6">
        <v>26141.71545662087</v>
      </c>
    </row>
    <row r="469" spans="1:4">
      <c r="A469" s="5">
        <v>45406</v>
      </c>
      <c r="B469" s="6" t="s">
        <v>45</v>
      </c>
      <c r="C469" s="6">
        <v>28973.08085653503</v>
      </c>
      <c r="D469" s="6">
        <v>25196.7033881093</v>
      </c>
    </row>
    <row r="470" spans="1:4">
      <c r="A470" s="5">
        <v>45406</v>
      </c>
      <c r="B470" s="6" t="s">
        <v>46</v>
      </c>
      <c r="C470" s="6">
        <v>26086.53050999764</v>
      </c>
      <c r="D470" s="6">
        <v>23998.66709340755</v>
      </c>
    </row>
    <row r="471" spans="1:4">
      <c r="A471" s="5">
        <v>45406</v>
      </c>
      <c r="B471" s="6" t="s">
        <v>47</v>
      </c>
      <c r="C471" s="6">
        <v>23804.05049169768</v>
      </c>
      <c r="D471" s="6">
        <v>20374.9330931476</v>
      </c>
    </row>
    <row r="472" spans="1:4">
      <c r="A472" s="5">
        <v>45406</v>
      </c>
      <c r="B472" s="6" t="s">
        <v>48</v>
      </c>
      <c r="C472" s="6">
        <v>26156.17654550335</v>
      </c>
      <c r="D472" s="6">
        <v>24008.94482877397</v>
      </c>
    </row>
    <row r="473" spans="1:4">
      <c r="A473" s="5">
        <v>45406</v>
      </c>
      <c r="B473" s="6" t="s">
        <v>49</v>
      </c>
      <c r="C473" s="6">
        <v>24829.22895754594</v>
      </c>
      <c r="D473" s="6">
        <v>25220.03010156534</v>
      </c>
    </row>
    <row r="474" spans="1:4">
      <c r="A474" s="5">
        <v>45406</v>
      </c>
      <c r="B474" s="6" t="s">
        <v>50</v>
      </c>
      <c r="C474" s="6">
        <v>28495.61267030519</v>
      </c>
      <c r="D474" s="6">
        <v>26191.12303665147</v>
      </c>
    </row>
    <row r="475" spans="1:4">
      <c r="A475" s="5">
        <v>45406</v>
      </c>
      <c r="B475" s="6" t="s">
        <v>51</v>
      </c>
      <c r="C475" s="6">
        <v>29932.69810253511</v>
      </c>
      <c r="D475" s="6">
        <v>27960.16387340223</v>
      </c>
    </row>
    <row r="476" spans="1:4">
      <c r="A476" s="5">
        <v>45406</v>
      </c>
      <c r="B476" s="6" t="s">
        <v>52</v>
      </c>
      <c r="C476" s="6">
        <v>23445.79693032514</v>
      </c>
      <c r="D476" s="6">
        <v>22495.4312090338</v>
      </c>
    </row>
    <row r="477" spans="1:4">
      <c r="A477" s="5">
        <v>45406</v>
      </c>
      <c r="B477" s="6" t="s">
        <v>53</v>
      </c>
      <c r="C477" s="6">
        <v>25088.64421992619</v>
      </c>
      <c r="D477" s="6">
        <v>23403.1929647994</v>
      </c>
    </row>
    <row r="478" spans="1:4">
      <c r="A478" s="5">
        <v>45406</v>
      </c>
      <c r="B478" s="6" t="s">
        <v>54</v>
      </c>
      <c r="C478" s="6">
        <v>28071.18277803174</v>
      </c>
      <c r="D478" s="6">
        <v>23524.10811873421</v>
      </c>
    </row>
    <row r="479" spans="1:4">
      <c r="A479" s="5">
        <v>45406</v>
      </c>
      <c r="B479" s="6" t="s">
        <v>55</v>
      </c>
      <c r="C479" s="6">
        <v>25988.78116956534</v>
      </c>
      <c r="D479" s="6">
        <v>22448.59924078571</v>
      </c>
    </row>
    <row r="480" spans="1:4">
      <c r="A480" s="5">
        <v>45406</v>
      </c>
      <c r="B480" s="6" t="s">
        <v>56</v>
      </c>
      <c r="C480" s="6">
        <v>28873.58958141951</v>
      </c>
      <c r="D480" s="6">
        <v>23706.64933374964</v>
      </c>
    </row>
    <row r="481" spans="1:4">
      <c r="A481" s="5">
        <v>45406</v>
      </c>
      <c r="B481" s="6" t="s">
        <v>57</v>
      </c>
      <c r="C481" s="6">
        <v>29122.8525534136</v>
      </c>
      <c r="D481" s="6">
        <v>27191.18375616442</v>
      </c>
    </row>
    <row r="482" spans="1:4">
      <c r="A482" s="5">
        <v>45406</v>
      </c>
      <c r="B482" s="6" t="s">
        <v>58</v>
      </c>
      <c r="C482" s="6">
        <v>24680.57849235775</v>
      </c>
      <c r="D482" s="6">
        <v>21367.35373187953</v>
      </c>
    </row>
    <row r="483" spans="1:4">
      <c r="A483" s="5">
        <v>45406</v>
      </c>
      <c r="B483" s="6" t="s">
        <v>59</v>
      </c>
      <c r="C483" s="6">
        <v>25155.74385140387</v>
      </c>
      <c r="D483" s="6">
        <v>23190.41473322267</v>
      </c>
    </row>
    <row r="484" spans="1:4">
      <c r="A484" s="5">
        <v>45407</v>
      </c>
      <c r="B484" s="6" t="s">
        <v>40</v>
      </c>
      <c r="C484" s="6">
        <v>23320.85795003262</v>
      </c>
      <c r="D484" s="6">
        <v>21208.09811470699</v>
      </c>
    </row>
    <row r="485" spans="1:4">
      <c r="A485" s="5">
        <v>45407</v>
      </c>
      <c r="B485" s="6" t="s">
        <v>41</v>
      </c>
      <c r="C485" s="6">
        <v>24688.78082871235</v>
      </c>
      <c r="D485" s="6">
        <v>23182.45950425678</v>
      </c>
    </row>
    <row r="486" spans="1:4">
      <c r="A486" s="5">
        <v>45407</v>
      </c>
      <c r="B486" s="6" t="s">
        <v>42</v>
      </c>
      <c r="C486" s="6">
        <v>24000.39296975378</v>
      </c>
      <c r="D486" s="6">
        <v>21948.83432113642</v>
      </c>
    </row>
    <row r="487" spans="1:4">
      <c r="A487" s="5">
        <v>45407</v>
      </c>
      <c r="B487" s="6" t="s">
        <v>43</v>
      </c>
      <c r="C487" s="6">
        <v>27574.12184037605</v>
      </c>
      <c r="D487" s="6">
        <v>23154.56412182772</v>
      </c>
    </row>
    <row r="488" spans="1:4">
      <c r="A488" s="5">
        <v>45407</v>
      </c>
      <c r="B488" s="6" t="s">
        <v>44</v>
      </c>
      <c r="C488" s="6">
        <v>25846.13751011283</v>
      </c>
      <c r="D488" s="6">
        <v>22449.90644298194</v>
      </c>
    </row>
    <row r="489" spans="1:4">
      <c r="A489" s="5">
        <v>45407</v>
      </c>
      <c r="B489" s="6" t="s">
        <v>45</v>
      </c>
      <c r="C489" s="6">
        <v>27810.27698559554</v>
      </c>
      <c r="D489" s="6">
        <v>24579.86268875286</v>
      </c>
    </row>
    <row r="490" spans="1:4">
      <c r="A490" s="5">
        <v>45407</v>
      </c>
      <c r="B490" s="6" t="s">
        <v>46</v>
      </c>
      <c r="C490" s="6">
        <v>26218.23716137195</v>
      </c>
      <c r="D490" s="6">
        <v>23922.90881586419</v>
      </c>
    </row>
    <row r="491" spans="1:4">
      <c r="A491" s="5">
        <v>45407</v>
      </c>
      <c r="B491" s="6" t="s">
        <v>47</v>
      </c>
      <c r="C491" s="6">
        <v>25391.67546560584</v>
      </c>
      <c r="D491" s="6">
        <v>23468.53912479462</v>
      </c>
    </row>
    <row r="492" spans="1:4">
      <c r="A492" s="5">
        <v>45407</v>
      </c>
      <c r="B492" s="6" t="s">
        <v>48</v>
      </c>
      <c r="C492" s="6">
        <v>26675.85126633613</v>
      </c>
      <c r="D492" s="6">
        <v>24295.11685755684</v>
      </c>
    </row>
    <row r="493" spans="1:4">
      <c r="A493" s="5">
        <v>45407</v>
      </c>
      <c r="B493" s="6" t="s">
        <v>49</v>
      </c>
      <c r="C493" s="6">
        <v>26367.51410059569</v>
      </c>
      <c r="D493" s="6">
        <v>24853.39930663451</v>
      </c>
    </row>
    <row r="494" spans="1:4">
      <c r="A494" s="5">
        <v>45407</v>
      </c>
      <c r="B494" s="6" t="s">
        <v>50</v>
      </c>
      <c r="C494" s="6">
        <v>29316.93027083332</v>
      </c>
      <c r="D494" s="6">
        <v>28440.13820517281</v>
      </c>
    </row>
    <row r="495" spans="1:4">
      <c r="A495" s="5">
        <v>45407</v>
      </c>
      <c r="B495" s="6" t="s">
        <v>51</v>
      </c>
      <c r="C495" s="6">
        <v>27845.88950137702</v>
      </c>
      <c r="D495" s="6">
        <v>26033.86780148078</v>
      </c>
    </row>
    <row r="496" spans="1:4">
      <c r="A496" s="5">
        <v>45407</v>
      </c>
      <c r="B496" s="6" t="s">
        <v>52</v>
      </c>
      <c r="C496" s="6">
        <v>23999.96920455668</v>
      </c>
      <c r="D496" s="6">
        <v>19774.22115279839</v>
      </c>
    </row>
    <row r="497" spans="1:4">
      <c r="A497" s="5">
        <v>45407</v>
      </c>
      <c r="B497" s="6" t="s">
        <v>53</v>
      </c>
      <c r="C497" s="6">
        <v>25649.95036105875</v>
      </c>
      <c r="D497" s="6">
        <v>23496.97252766852</v>
      </c>
    </row>
    <row r="498" spans="1:4">
      <c r="A498" s="5">
        <v>45407</v>
      </c>
      <c r="B498" s="6" t="s">
        <v>54</v>
      </c>
      <c r="C498" s="6">
        <v>25752.9635224468</v>
      </c>
      <c r="D498" s="6">
        <v>23177.82835327135</v>
      </c>
    </row>
    <row r="499" spans="1:4">
      <c r="A499" s="5">
        <v>45407</v>
      </c>
      <c r="B499" s="6" t="s">
        <v>55</v>
      </c>
      <c r="C499" s="6">
        <v>26964.62227965056</v>
      </c>
      <c r="D499" s="6">
        <v>25818.17383457933</v>
      </c>
    </row>
    <row r="500" spans="1:4">
      <c r="A500" s="5">
        <v>45407</v>
      </c>
      <c r="B500" s="6" t="s">
        <v>56</v>
      </c>
      <c r="C500" s="6">
        <v>28652.32193883586</v>
      </c>
      <c r="D500" s="6">
        <v>26025.7382918039</v>
      </c>
    </row>
    <row r="501" spans="1:4">
      <c r="A501" s="5">
        <v>45407</v>
      </c>
      <c r="B501" s="6" t="s">
        <v>57</v>
      </c>
      <c r="C501" s="6">
        <v>29206.88586037131</v>
      </c>
      <c r="D501" s="6">
        <v>26490.53169358599</v>
      </c>
    </row>
    <row r="502" spans="1:4">
      <c r="A502" s="5">
        <v>45407</v>
      </c>
      <c r="B502" s="6" t="s">
        <v>58</v>
      </c>
      <c r="C502" s="6">
        <v>23111.92965356426</v>
      </c>
      <c r="D502" s="6">
        <v>20409.71392135573</v>
      </c>
    </row>
    <row r="503" spans="1:4">
      <c r="A503" s="5">
        <v>45407</v>
      </c>
      <c r="B503" s="6" t="s">
        <v>59</v>
      </c>
      <c r="C503" s="6">
        <v>24427.55520617884</v>
      </c>
      <c r="D503" s="6">
        <v>23195.33840235776</v>
      </c>
    </row>
    <row r="504" spans="1:4">
      <c r="A504" s="5">
        <v>45408</v>
      </c>
      <c r="B504" s="6" t="s">
        <v>40</v>
      </c>
      <c r="C504" s="6">
        <v>22744.87164449107</v>
      </c>
      <c r="D504" s="6">
        <v>20836.47534481741</v>
      </c>
    </row>
    <row r="505" spans="1:4">
      <c r="A505" s="5">
        <v>45408</v>
      </c>
      <c r="B505" s="6" t="s">
        <v>41</v>
      </c>
      <c r="C505" s="6">
        <v>25786.25981976035</v>
      </c>
      <c r="D505" s="6">
        <v>24829.55056234532</v>
      </c>
    </row>
    <row r="506" spans="1:4">
      <c r="A506" s="5">
        <v>45408</v>
      </c>
      <c r="B506" s="6" t="s">
        <v>42</v>
      </c>
      <c r="C506" s="6">
        <v>28250.1544636342</v>
      </c>
      <c r="D506" s="6">
        <v>24062.45535681442</v>
      </c>
    </row>
    <row r="507" spans="1:4">
      <c r="A507" s="5">
        <v>45408</v>
      </c>
      <c r="B507" s="6" t="s">
        <v>43</v>
      </c>
      <c r="C507" s="6">
        <v>26177.09500108237</v>
      </c>
      <c r="D507" s="6">
        <v>22886.43078414248</v>
      </c>
    </row>
    <row r="508" spans="1:4">
      <c r="A508" s="5">
        <v>45408</v>
      </c>
      <c r="B508" s="6" t="s">
        <v>44</v>
      </c>
      <c r="C508" s="6">
        <v>29314.6493986487</v>
      </c>
      <c r="D508" s="6">
        <v>24837.04969618247</v>
      </c>
    </row>
    <row r="509" spans="1:4">
      <c r="A509" s="5">
        <v>45408</v>
      </c>
      <c r="B509" s="6" t="s">
        <v>45</v>
      </c>
      <c r="C509" s="6">
        <v>28663.98082896158</v>
      </c>
      <c r="D509" s="6">
        <v>26620.86023382693</v>
      </c>
    </row>
    <row r="510" spans="1:4">
      <c r="A510" s="5">
        <v>45408</v>
      </c>
      <c r="B510" s="6" t="s">
        <v>46</v>
      </c>
      <c r="C510" s="6">
        <v>25982.61997450093</v>
      </c>
      <c r="D510" s="6">
        <v>24393.32691649314</v>
      </c>
    </row>
    <row r="511" spans="1:4">
      <c r="A511" s="5">
        <v>45408</v>
      </c>
      <c r="B511" s="6" t="s">
        <v>47</v>
      </c>
      <c r="C511" s="6">
        <v>28241.90952123521</v>
      </c>
      <c r="D511" s="6">
        <v>24327.22730988482</v>
      </c>
    </row>
    <row r="512" spans="1:4">
      <c r="A512" s="5">
        <v>45408</v>
      </c>
      <c r="B512" s="6" t="s">
        <v>48</v>
      </c>
      <c r="C512" s="6">
        <v>24775.78353399946</v>
      </c>
      <c r="D512" s="6">
        <v>22647.40126022038</v>
      </c>
    </row>
    <row r="513" spans="1:4">
      <c r="A513" s="5">
        <v>45408</v>
      </c>
      <c r="B513" s="6" t="s">
        <v>49</v>
      </c>
      <c r="C513" s="6">
        <v>26818.35044779335</v>
      </c>
      <c r="D513" s="6">
        <v>26917.91525374167</v>
      </c>
    </row>
    <row r="514" spans="1:4">
      <c r="A514" s="5">
        <v>45408</v>
      </c>
      <c r="B514" s="6" t="s">
        <v>50</v>
      </c>
      <c r="C514" s="6">
        <v>27849.06030418925</v>
      </c>
      <c r="D514" s="6">
        <v>26769.48796903027</v>
      </c>
    </row>
    <row r="515" spans="1:4">
      <c r="A515" s="5">
        <v>45408</v>
      </c>
      <c r="B515" s="6" t="s">
        <v>51</v>
      </c>
      <c r="C515" s="6">
        <v>28857.06798439065</v>
      </c>
      <c r="D515" s="6">
        <v>26205.64651280457</v>
      </c>
    </row>
    <row r="516" spans="1:4">
      <c r="A516" s="5">
        <v>45408</v>
      </c>
      <c r="B516" s="6" t="s">
        <v>52</v>
      </c>
      <c r="C516" s="6">
        <v>24259.40515321216</v>
      </c>
      <c r="D516" s="6">
        <v>22772.85780374684</v>
      </c>
    </row>
    <row r="517" spans="1:4">
      <c r="A517" s="5">
        <v>45408</v>
      </c>
      <c r="B517" s="6" t="s">
        <v>53</v>
      </c>
      <c r="C517" s="6">
        <v>25219.31768283308</v>
      </c>
      <c r="D517" s="6">
        <v>21045.06737065738</v>
      </c>
    </row>
    <row r="518" spans="1:4">
      <c r="A518" s="5">
        <v>45408</v>
      </c>
      <c r="B518" s="6" t="s">
        <v>54</v>
      </c>
      <c r="C518" s="6">
        <v>26789.25316314511</v>
      </c>
      <c r="D518" s="6">
        <v>25327.93765060425</v>
      </c>
    </row>
    <row r="519" spans="1:4">
      <c r="A519" s="5">
        <v>45408</v>
      </c>
      <c r="B519" s="6" t="s">
        <v>55</v>
      </c>
      <c r="C519" s="6">
        <v>26721.98444858344</v>
      </c>
      <c r="D519" s="6">
        <v>23794.69955147565</v>
      </c>
    </row>
    <row r="520" spans="1:4">
      <c r="A520" s="5">
        <v>45408</v>
      </c>
      <c r="B520" s="6" t="s">
        <v>56</v>
      </c>
      <c r="C520" s="6">
        <v>28683.16190168898</v>
      </c>
      <c r="D520" s="6">
        <v>26725.41084690904</v>
      </c>
    </row>
    <row r="521" spans="1:4">
      <c r="A521" s="5">
        <v>45408</v>
      </c>
      <c r="B521" s="6" t="s">
        <v>57</v>
      </c>
      <c r="C521" s="6">
        <v>27951.11707053569</v>
      </c>
      <c r="D521" s="6">
        <v>26135.40684682247</v>
      </c>
    </row>
    <row r="522" spans="1:4">
      <c r="A522" s="5">
        <v>45408</v>
      </c>
      <c r="B522" s="6" t="s">
        <v>58</v>
      </c>
      <c r="C522" s="6">
        <v>27143.86761968863</v>
      </c>
      <c r="D522" s="6">
        <v>26323.74478615418</v>
      </c>
    </row>
    <row r="523" spans="1:4">
      <c r="A523" s="5">
        <v>45408</v>
      </c>
      <c r="B523" s="6" t="s">
        <v>59</v>
      </c>
      <c r="C523" s="6">
        <v>23584.27453604752</v>
      </c>
      <c r="D523" s="6">
        <v>22348.02842466739</v>
      </c>
    </row>
    <row r="524" spans="1:4">
      <c r="A524" s="5">
        <v>45409</v>
      </c>
      <c r="B524" s="6" t="s">
        <v>40</v>
      </c>
      <c r="C524" s="6">
        <v>24207.04128967935</v>
      </c>
      <c r="D524" s="6">
        <v>23357.02915918262</v>
      </c>
    </row>
    <row r="525" spans="1:4">
      <c r="A525" s="5">
        <v>45409</v>
      </c>
      <c r="B525" s="6" t="s">
        <v>41</v>
      </c>
      <c r="C525" s="6">
        <v>25254.45077462684</v>
      </c>
      <c r="D525" s="6">
        <v>21756.75920261854</v>
      </c>
    </row>
    <row r="526" spans="1:4">
      <c r="A526" s="5">
        <v>45409</v>
      </c>
      <c r="B526" s="6" t="s">
        <v>42</v>
      </c>
      <c r="C526" s="6">
        <v>26268.90604167407</v>
      </c>
      <c r="D526" s="6">
        <v>22815.63906443256</v>
      </c>
    </row>
    <row r="527" spans="1:4">
      <c r="A527" s="5">
        <v>45409</v>
      </c>
      <c r="B527" s="6" t="s">
        <v>43</v>
      </c>
      <c r="C527" s="6">
        <v>28154.03940221861</v>
      </c>
      <c r="D527" s="6">
        <v>24283.44653506412</v>
      </c>
    </row>
    <row r="528" spans="1:4">
      <c r="A528" s="5">
        <v>45409</v>
      </c>
      <c r="B528" s="6" t="s">
        <v>44</v>
      </c>
      <c r="C528" s="6">
        <v>29769.40466507992</v>
      </c>
      <c r="D528" s="6">
        <v>26439.86196351444</v>
      </c>
    </row>
    <row r="529" spans="1:4">
      <c r="A529" s="5">
        <v>45409</v>
      </c>
      <c r="B529" s="6" t="s">
        <v>45</v>
      </c>
      <c r="C529" s="6">
        <v>27201.19579291378</v>
      </c>
      <c r="D529" s="6">
        <v>24445.68370439321</v>
      </c>
    </row>
    <row r="530" spans="1:4">
      <c r="A530" s="5">
        <v>45409</v>
      </c>
      <c r="B530" s="6" t="s">
        <v>46</v>
      </c>
      <c r="C530" s="6">
        <v>26697.3901995361</v>
      </c>
      <c r="D530" s="6">
        <v>26565.61889229207</v>
      </c>
    </row>
    <row r="531" spans="1:4">
      <c r="A531" s="5">
        <v>45409</v>
      </c>
      <c r="B531" s="6" t="s">
        <v>47</v>
      </c>
      <c r="C531" s="6">
        <v>26108.63843700569</v>
      </c>
      <c r="D531" s="6">
        <v>24865.1470748495</v>
      </c>
    </row>
    <row r="532" spans="1:4">
      <c r="A532" s="5">
        <v>45409</v>
      </c>
      <c r="B532" s="6" t="s">
        <v>48</v>
      </c>
      <c r="C532" s="6">
        <v>25985.83060899365</v>
      </c>
      <c r="D532" s="6">
        <v>23893.3281462788</v>
      </c>
    </row>
    <row r="533" spans="1:4">
      <c r="A533" s="5">
        <v>45409</v>
      </c>
      <c r="B533" s="6" t="s">
        <v>49</v>
      </c>
      <c r="C533" s="6">
        <v>26890.03694409563</v>
      </c>
      <c r="D533" s="6">
        <v>27215.47952849968</v>
      </c>
    </row>
    <row r="534" spans="1:4">
      <c r="A534" s="5">
        <v>45409</v>
      </c>
      <c r="B534" s="6" t="s">
        <v>50</v>
      </c>
      <c r="C534" s="6">
        <v>27911.3520226481</v>
      </c>
      <c r="D534" s="6">
        <v>24980.46828554883</v>
      </c>
    </row>
    <row r="535" spans="1:4">
      <c r="A535" s="5">
        <v>45409</v>
      </c>
      <c r="B535" s="6" t="s">
        <v>51</v>
      </c>
      <c r="C535" s="6">
        <v>27841.61704385106</v>
      </c>
      <c r="D535" s="6">
        <v>24857.49214491182</v>
      </c>
    </row>
    <row r="536" spans="1:4">
      <c r="A536" s="5">
        <v>45409</v>
      </c>
      <c r="B536" s="6" t="s">
        <v>52</v>
      </c>
      <c r="C536" s="6">
        <v>23894.99295696945</v>
      </c>
      <c r="D536" s="6">
        <v>21941.45418832094</v>
      </c>
    </row>
    <row r="537" spans="1:4">
      <c r="A537" s="5">
        <v>45409</v>
      </c>
      <c r="B537" s="6" t="s">
        <v>53</v>
      </c>
      <c r="C537" s="6">
        <v>26828.40758430607</v>
      </c>
      <c r="D537" s="6">
        <v>24204.51403676149</v>
      </c>
    </row>
    <row r="538" spans="1:4">
      <c r="A538" s="5">
        <v>45409</v>
      </c>
      <c r="B538" s="6" t="s">
        <v>54</v>
      </c>
      <c r="C538" s="6">
        <v>23781.28949364959</v>
      </c>
      <c r="D538" s="6">
        <v>22166.64243044576</v>
      </c>
    </row>
    <row r="539" spans="1:4">
      <c r="A539" s="5">
        <v>45409</v>
      </c>
      <c r="B539" s="6" t="s">
        <v>55</v>
      </c>
      <c r="C539" s="6">
        <v>27224.33250075098</v>
      </c>
      <c r="D539" s="6">
        <v>26911.28178152301</v>
      </c>
    </row>
    <row r="540" spans="1:4">
      <c r="A540" s="5">
        <v>45409</v>
      </c>
      <c r="B540" s="6" t="s">
        <v>56</v>
      </c>
      <c r="C540" s="6">
        <v>28283.3710178966</v>
      </c>
      <c r="D540" s="6">
        <v>27211.62425846138</v>
      </c>
    </row>
    <row r="541" spans="1:4">
      <c r="A541" s="5">
        <v>45409</v>
      </c>
      <c r="B541" s="6" t="s">
        <v>57</v>
      </c>
      <c r="C541" s="6">
        <v>28393.00184652077</v>
      </c>
      <c r="D541" s="6">
        <v>26915.36668040594</v>
      </c>
    </row>
    <row r="542" spans="1:4">
      <c r="A542" s="5">
        <v>45409</v>
      </c>
      <c r="B542" s="6" t="s">
        <v>58</v>
      </c>
      <c r="C542" s="6">
        <v>23445.32237185497</v>
      </c>
      <c r="D542" s="6">
        <v>23294.85698973462</v>
      </c>
    </row>
    <row r="543" spans="1:4">
      <c r="A543" s="5">
        <v>45409</v>
      </c>
      <c r="B543" s="6" t="s">
        <v>59</v>
      </c>
      <c r="C543" s="6">
        <v>25125.67866025961</v>
      </c>
      <c r="D543" s="6">
        <v>23331.19051314974</v>
      </c>
    </row>
    <row r="544" spans="1:4">
      <c r="A544" s="5">
        <v>45410</v>
      </c>
      <c r="B544" s="6" t="s">
        <v>40</v>
      </c>
      <c r="C544" s="6">
        <v>23218.14447034728</v>
      </c>
      <c r="D544" s="6">
        <v>20873.34266039556</v>
      </c>
    </row>
    <row r="545" spans="1:4">
      <c r="A545" s="5">
        <v>45410</v>
      </c>
      <c r="B545" s="6" t="s">
        <v>41</v>
      </c>
      <c r="C545" s="6">
        <v>25288.26858213647</v>
      </c>
      <c r="D545" s="6">
        <v>24170.75454181935</v>
      </c>
    </row>
    <row r="546" spans="1:4">
      <c r="A546" s="5">
        <v>45410</v>
      </c>
      <c r="B546" s="6" t="s">
        <v>42</v>
      </c>
      <c r="C546" s="6">
        <v>27200.51595645196</v>
      </c>
      <c r="D546" s="6">
        <v>24374.4890191492</v>
      </c>
    </row>
    <row r="547" spans="1:4">
      <c r="A547" s="5">
        <v>45410</v>
      </c>
      <c r="B547" s="6" t="s">
        <v>43</v>
      </c>
      <c r="C547" s="6">
        <v>27375.15802220152</v>
      </c>
      <c r="D547" s="6">
        <v>25048.21191675754</v>
      </c>
    </row>
    <row r="548" spans="1:4">
      <c r="A548" s="5">
        <v>45410</v>
      </c>
      <c r="B548" s="6" t="s">
        <v>44</v>
      </c>
      <c r="C548" s="6">
        <v>29103.59388134737</v>
      </c>
      <c r="D548" s="6">
        <v>26215.34926874635</v>
      </c>
    </row>
    <row r="549" spans="1:4">
      <c r="A549" s="5">
        <v>45410</v>
      </c>
      <c r="B549" s="6" t="s">
        <v>45</v>
      </c>
      <c r="C549" s="6">
        <v>28830.09293412791</v>
      </c>
      <c r="D549" s="6">
        <v>24997.94238217727</v>
      </c>
    </row>
    <row r="550" spans="1:4">
      <c r="A550" s="5">
        <v>45410</v>
      </c>
      <c r="B550" s="6" t="s">
        <v>46</v>
      </c>
      <c r="C550" s="6">
        <v>24446.94637002368</v>
      </c>
      <c r="D550" s="6">
        <v>22910.66412884389</v>
      </c>
    </row>
    <row r="551" spans="1:4">
      <c r="A551" s="5">
        <v>45410</v>
      </c>
      <c r="B551" s="6" t="s">
        <v>47</v>
      </c>
      <c r="C551" s="6">
        <v>27881.44725959825</v>
      </c>
      <c r="D551" s="6">
        <v>27006.35712437762</v>
      </c>
    </row>
    <row r="552" spans="1:4">
      <c r="A552" s="5">
        <v>45410</v>
      </c>
      <c r="B552" s="6" t="s">
        <v>48</v>
      </c>
      <c r="C552" s="6">
        <v>25899.37157197808</v>
      </c>
      <c r="D552" s="6">
        <v>24786.13767976937</v>
      </c>
    </row>
    <row r="553" spans="1:4">
      <c r="A553" s="5">
        <v>45410</v>
      </c>
      <c r="B553" s="6" t="s">
        <v>49</v>
      </c>
      <c r="C553" s="6">
        <v>29614.66580763388</v>
      </c>
      <c r="D553" s="6">
        <v>26147.83735555668</v>
      </c>
    </row>
    <row r="554" spans="1:4">
      <c r="A554" s="5">
        <v>45410</v>
      </c>
      <c r="B554" s="6" t="s">
        <v>50</v>
      </c>
      <c r="C554" s="6">
        <v>27182.16169232151</v>
      </c>
      <c r="D554" s="6">
        <v>23833.92158527217</v>
      </c>
    </row>
    <row r="555" spans="1:4">
      <c r="A555" s="5">
        <v>45410</v>
      </c>
      <c r="B555" s="6" t="s">
        <v>51</v>
      </c>
      <c r="C555" s="6">
        <v>30266.21745014263</v>
      </c>
      <c r="D555" s="6">
        <v>27467.35058792934</v>
      </c>
    </row>
    <row r="556" spans="1:4">
      <c r="A556" s="5">
        <v>45410</v>
      </c>
      <c r="B556" s="6" t="s">
        <v>52</v>
      </c>
      <c r="C556" s="6">
        <v>25468.47113893207</v>
      </c>
      <c r="D556" s="6">
        <v>21364.48805739386</v>
      </c>
    </row>
    <row r="557" spans="1:4">
      <c r="A557" s="5">
        <v>45410</v>
      </c>
      <c r="B557" s="6" t="s">
        <v>53</v>
      </c>
      <c r="C557" s="6">
        <v>24908.97861703567</v>
      </c>
      <c r="D557" s="6">
        <v>23267.152484197</v>
      </c>
    </row>
    <row r="558" spans="1:4">
      <c r="A558" s="5">
        <v>45410</v>
      </c>
      <c r="B558" s="6" t="s">
        <v>54</v>
      </c>
      <c r="C558" s="6">
        <v>24588.25644993989</v>
      </c>
      <c r="D558" s="6">
        <v>21997.66232470729</v>
      </c>
    </row>
    <row r="559" spans="1:4">
      <c r="A559" s="5">
        <v>45410</v>
      </c>
      <c r="B559" s="6" t="s">
        <v>55</v>
      </c>
      <c r="C559" s="6">
        <v>27190.2249256729</v>
      </c>
      <c r="D559" s="6">
        <v>25357.13384146668</v>
      </c>
    </row>
    <row r="560" spans="1:4">
      <c r="A560" s="5">
        <v>45410</v>
      </c>
      <c r="B560" s="6" t="s">
        <v>56</v>
      </c>
      <c r="C560" s="6">
        <v>26026.35398347442</v>
      </c>
      <c r="D560" s="6">
        <v>24112.10505223491</v>
      </c>
    </row>
    <row r="561" spans="1:4">
      <c r="A561" s="5">
        <v>45410</v>
      </c>
      <c r="B561" s="6" t="s">
        <v>57</v>
      </c>
      <c r="C561" s="6">
        <v>28373.13835142649</v>
      </c>
      <c r="D561" s="6">
        <v>27849.16726659908</v>
      </c>
    </row>
    <row r="562" spans="1:4">
      <c r="A562" s="5">
        <v>45410</v>
      </c>
      <c r="B562" s="6" t="s">
        <v>58</v>
      </c>
      <c r="C562" s="6">
        <v>23016.81852238258</v>
      </c>
      <c r="D562" s="6">
        <v>20907.53498602817</v>
      </c>
    </row>
    <row r="563" spans="1:4">
      <c r="A563" s="5">
        <v>45410</v>
      </c>
      <c r="B563" s="6" t="s">
        <v>59</v>
      </c>
      <c r="C563" s="6">
        <v>25455.69539072362</v>
      </c>
      <c r="D563" s="6">
        <v>22310.97051369818</v>
      </c>
    </row>
    <row r="564" spans="1:4">
      <c r="A564" s="5">
        <v>45411</v>
      </c>
      <c r="B564" s="6" t="s">
        <v>40</v>
      </c>
      <c r="C564" s="6">
        <v>23268.84658534861</v>
      </c>
      <c r="D564" s="6">
        <v>21040.73266699557</v>
      </c>
    </row>
    <row r="565" spans="1:4">
      <c r="A565" s="5">
        <v>45411</v>
      </c>
      <c r="B565" s="6" t="s">
        <v>41</v>
      </c>
      <c r="C565" s="6">
        <v>24059.49636788874</v>
      </c>
      <c r="D565" s="6">
        <v>23108.94859511087</v>
      </c>
    </row>
    <row r="566" spans="1:4">
      <c r="A566" s="5">
        <v>45411</v>
      </c>
      <c r="B566" s="6" t="s">
        <v>42</v>
      </c>
      <c r="C566" s="6">
        <v>25553.17394746226</v>
      </c>
      <c r="D566" s="6">
        <v>22393.06467135322</v>
      </c>
    </row>
    <row r="567" spans="1:4">
      <c r="A567" s="5">
        <v>45411</v>
      </c>
      <c r="B567" s="6" t="s">
        <v>43</v>
      </c>
      <c r="C567" s="6">
        <v>28826.32230602588</v>
      </c>
      <c r="D567" s="6">
        <v>26416.10074801226</v>
      </c>
    </row>
    <row r="568" spans="1:4">
      <c r="A568" s="5">
        <v>45411</v>
      </c>
      <c r="B568" s="6" t="s">
        <v>44</v>
      </c>
      <c r="C568" s="6">
        <v>28847.33824672003</v>
      </c>
      <c r="D568" s="6">
        <v>26528.20854219121</v>
      </c>
    </row>
    <row r="569" spans="1:4">
      <c r="A569" s="5">
        <v>45411</v>
      </c>
      <c r="B569" s="6" t="s">
        <v>45</v>
      </c>
      <c r="C569" s="6">
        <v>28112.31687850301</v>
      </c>
      <c r="D569" s="6">
        <v>26494.92823892073</v>
      </c>
    </row>
    <row r="570" spans="1:4">
      <c r="A570" s="5">
        <v>45411</v>
      </c>
      <c r="B570" s="6" t="s">
        <v>46</v>
      </c>
      <c r="C570" s="6">
        <v>25671.19690254607</v>
      </c>
      <c r="D570" s="6">
        <v>24748.4423930187</v>
      </c>
    </row>
    <row r="571" spans="1:4">
      <c r="A571" s="5">
        <v>45411</v>
      </c>
      <c r="B571" s="6" t="s">
        <v>47</v>
      </c>
      <c r="C571" s="6">
        <v>24690.21711323938</v>
      </c>
      <c r="D571" s="6">
        <v>23653.56142161548</v>
      </c>
    </row>
    <row r="572" spans="1:4">
      <c r="A572" s="5">
        <v>45411</v>
      </c>
      <c r="B572" s="6" t="s">
        <v>48</v>
      </c>
      <c r="C572" s="6">
        <v>27789.441787126</v>
      </c>
      <c r="D572" s="6">
        <v>22454.57397312093</v>
      </c>
    </row>
    <row r="573" spans="1:4">
      <c r="A573" s="5">
        <v>45411</v>
      </c>
      <c r="B573" s="6" t="s">
        <v>49</v>
      </c>
      <c r="C573" s="6">
        <v>26841.40312459417</v>
      </c>
      <c r="D573" s="6">
        <v>24224.92122885073</v>
      </c>
    </row>
    <row r="574" spans="1:4">
      <c r="A574" s="5">
        <v>45411</v>
      </c>
      <c r="B574" s="6" t="s">
        <v>50</v>
      </c>
      <c r="C574" s="6">
        <v>29571.25111223855</v>
      </c>
      <c r="D574" s="6">
        <v>26270.65110921587</v>
      </c>
    </row>
    <row r="575" spans="1:4">
      <c r="A575" s="5">
        <v>45411</v>
      </c>
      <c r="B575" s="6" t="s">
        <v>51</v>
      </c>
      <c r="C575" s="6">
        <v>28927.69648430761</v>
      </c>
      <c r="D575" s="6">
        <v>26254.2119328949</v>
      </c>
    </row>
    <row r="576" spans="1:4">
      <c r="A576" s="5">
        <v>45411</v>
      </c>
      <c r="B576" s="6" t="s">
        <v>52</v>
      </c>
      <c r="C576" s="6">
        <v>24534.90451837706</v>
      </c>
      <c r="D576" s="6">
        <v>23072.46341258616</v>
      </c>
    </row>
    <row r="577" spans="1:4">
      <c r="A577" s="5">
        <v>45411</v>
      </c>
      <c r="B577" s="6" t="s">
        <v>53</v>
      </c>
      <c r="C577" s="6">
        <v>26262.75408543664</v>
      </c>
      <c r="D577" s="6">
        <v>24545.9471366404</v>
      </c>
    </row>
    <row r="578" spans="1:4">
      <c r="A578" s="5">
        <v>45411</v>
      </c>
      <c r="B578" s="6" t="s">
        <v>54</v>
      </c>
      <c r="C578" s="6">
        <v>27214.67697026447</v>
      </c>
      <c r="D578" s="6">
        <v>24137.90794598496</v>
      </c>
    </row>
    <row r="579" spans="1:4">
      <c r="A579" s="5">
        <v>45411</v>
      </c>
      <c r="B579" s="6" t="s">
        <v>55</v>
      </c>
      <c r="C579" s="6">
        <v>28183.93778883108</v>
      </c>
      <c r="D579" s="6">
        <v>26453.37916288728</v>
      </c>
    </row>
    <row r="580" spans="1:4">
      <c r="A580" s="5">
        <v>45411</v>
      </c>
      <c r="B580" s="6" t="s">
        <v>56</v>
      </c>
      <c r="C580" s="6">
        <v>30031.08966669611</v>
      </c>
      <c r="D580" s="6">
        <v>28385.57998248716</v>
      </c>
    </row>
    <row r="581" spans="1:4">
      <c r="A581" s="5">
        <v>45411</v>
      </c>
      <c r="B581" s="6" t="s">
        <v>57</v>
      </c>
      <c r="C581" s="6">
        <v>27598.42092130337</v>
      </c>
      <c r="D581" s="6">
        <v>23051.45713162132</v>
      </c>
    </row>
    <row r="582" spans="1:4">
      <c r="A582" s="5">
        <v>45411</v>
      </c>
      <c r="B582" s="6" t="s">
        <v>58</v>
      </c>
      <c r="C582" s="6">
        <v>22386.10392293377</v>
      </c>
      <c r="D582" s="6">
        <v>19605.43247582874</v>
      </c>
    </row>
    <row r="583" spans="1:4">
      <c r="A583" s="5">
        <v>45411</v>
      </c>
      <c r="B583" s="6" t="s">
        <v>59</v>
      </c>
      <c r="C583" s="6">
        <v>23270.87070799437</v>
      </c>
      <c r="D583" s="6">
        <v>19884.64593109426</v>
      </c>
    </row>
    <row r="584" spans="1:4">
      <c r="A584" s="5">
        <v>45412</v>
      </c>
      <c r="B584" s="6" t="s">
        <v>40</v>
      </c>
      <c r="C584" s="6">
        <v>25928.81150207894</v>
      </c>
      <c r="D584" s="6">
        <v>21807.09265289901</v>
      </c>
    </row>
    <row r="585" spans="1:4">
      <c r="A585" s="5">
        <v>45412</v>
      </c>
      <c r="B585" s="6" t="s">
        <v>41</v>
      </c>
      <c r="C585" s="6">
        <v>24972.61438208209</v>
      </c>
      <c r="D585" s="6">
        <v>22609.5223432569</v>
      </c>
    </row>
    <row r="586" spans="1:4">
      <c r="A586" s="5">
        <v>45412</v>
      </c>
      <c r="B586" s="6" t="s">
        <v>42</v>
      </c>
      <c r="C586" s="6">
        <v>24572.06284733313</v>
      </c>
      <c r="D586" s="6">
        <v>21875.596038514</v>
      </c>
    </row>
    <row r="587" spans="1:4">
      <c r="A587" s="5">
        <v>45412</v>
      </c>
      <c r="B587" s="6" t="s">
        <v>43</v>
      </c>
      <c r="C587" s="6">
        <v>27070.88885590317</v>
      </c>
      <c r="D587" s="6">
        <v>25375.06239107898</v>
      </c>
    </row>
    <row r="588" spans="1:4">
      <c r="A588" s="5">
        <v>45412</v>
      </c>
      <c r="B588" s="6" t="s">
        <v>44</v>
      </c>
      <c r="C588" s="6">
        <v>27942.15616574957</v>
      </c>
      <c r="D588" s="6">
        <v>27706.16854164692</v>
      </c>
    </row>
    <row r="589" spans="1:4">
      <c r="A589" s="5">
        <v>45412</v>
      </c>
      <c r="B589" s="6" t="s">
        <v>45</v>
      </c>
      <c r="C589" s="6">
        <v>28781.94534387375</v>
      </c>
      <c r="D589" s="6">
        <v>26179.31422853122</v>
      </c>
    </row>
    <row r="590" spans="1:4">
      <c r="A590" s="5">
        <v>45412</v>
      </c>
      <c r="B590" s="6" t="s">
        <v>46</v>
      </c>
      <c r="C590" s="6">
        <v>23519.54156396971</v>
      </c>
      <c r="D590" s="6">
        <v>24159.72038606318</v>
      </c>
    </row>
    <row r="591" spans="1:4">
      <c r="A591" s="5">
        <v>45412</v>
      </c>
      <c r="B591" s="6" t="s">
        <v>47</v>
      </c>
      <c r="C591" s="6">
        <v>22875.71375877443</v>
      </c>
      <c r="D591" s="6">
        <v>19275.901884615</v>
      </c>
    </row>
    <row r="592" spans="1:4">
      <c r="A592" s="5">
        <v>45412</v>
      </c>
      <c r="B592" s="6" t="s">
        <v>48</v>
      </c>
      <c r="C592" s="6">
        <v>24798.50398406127</v>
      </c>
      <c r="D592" s="6">
        <v>22156.52202506089</v>
      </c>
    </row>
    <row r="593" spans="1:4">
      <c r="A593" s="5">
        <v>45412</v>
      </c>
      <c r="B593" s="6" t="s">
        <v>49</v>
      </c>
      <c r="C593" s="6">
        <v>27243.23659879433</v>
      </c>
      <c r="D593" s="6">
        <v>25579.36609001321</v>
      </c>
    </row>
    <row r="594" spans="1:4">
      <c r="A594" s="5">
        <v>45412</v>
      </c>
      <c r="B594" s="6" t="s">
        <v>50</v>
      </c>
      <c r="C594" s="6">
        <v>26648.66370178454</v>
      </c>
      <c r="D594" s="6">
        <v>24235.35379471755</v>
      </c>
    </row>
    <row r="595" spans="1:4">
      <c r="A595" s="5">
        <v>45412</v>
      </c>
      <c r="B595" s="6" t="s">
        <v>51</v>
      </c>
      <c r="C595" s="6">
        <v>29403.43153115547</v>
      </c>
      <c r="D595" s="6">
        <v>25444.89749614515</v>
      </c>
    </row>
    <row r="596" spans="1:4">
      <c r="A596" s="5">
        <v>45412</v>
      </c>
      <c r="B596" s="6" t="s">
        <v>52</v>
      </c>
      <c r="C596" s="6">
        <v>24373.49511602788</v>
      </c>
      <c r="D596" s="6">
        <v>22387.11474115375</v>
      </c>
    </row>
    <row r="597" spans="1:4">
      <c r="A597" s="5">
        <v>45412</v>
      </c>
      <c r="B597" s="6" t="s">
        <v>53</v>
      </c>
      <c r="C597" s="6">
        <v>25948.99203848175</v>
      </c>
      <c r="D597" s="6">
        <v>23670.84637041784</v>
      </c>
    </row>
    <row r="598" spans="1:4">
      <c r="A598" s="5">
        <v>45412</v>
      </c>
      <c r="B598" s="6" t="s">
        <v>54</v>
      </c>
      <c r="C598" s="6">
        <v>25660.85613197846</v>
      </c>
      <c r="D598" s="6">
        <v>26136.64345119643</v>
      </c>
    </row>
    <row r="599" spans="1:4">
      <c r="A599" s="5">
        <v>45412</v>
      </c>
      <c r="B599" s="6" t="s">
        <v>55</v>
      </c>
      <c r="C599" s="6">
        <v>28550.24818179879</v>
      </c>
      <c r="D599" s="6">
        <v>27869.22401033568</v>
      </c>
    </row>
    <row r="600" spans="1:4">
      <c r="A600" s="5">
        <v>45412</v>
      </c>
      <c r="B600" s="6" t="s">
        <v>56</v>
      </c>
      <c r="C600" s="6">
        <v>28993.53772649908</v>
      </c>
      <c r="D600" s="6">
        <v>25350.48535431313</v>
      </c>
    </row>
    <row r="601" spans="1:4">
      <c r="A601" s="5">
        <v>45412</v>
      </c>
      <c r="B601" s="6" t="s">
        <v>57</v>
      </c>
      <c r="C601" s="6">
        <v>29518.96448306874</v>
      </c>
      <c r="D601" s="6">
        <v>26796.56609770294</v>
      </c>
    </row>
    <row r="602" spans="1:4">
      <c r="A602" s="5">
        <v>45412</v>
      </c>
      <c r="B602" s="6" t="s">
        <v>58</v>
      </c>
      <c r="C602" s="6">
        <v>23078.4296187488</v>
      </c>
      <c r="D602" s="6">
        <v>20777.44635631445</v>
      </c>
    </row>
    <row r="603" spans="1:4">
      <c r="A603" s="5">
        <v>45412</v>
      </c>
      <c r="B603" s="6" t="s">
        <v>59</v>
      </c>
      <c r="C603" s="6">
        <v>24510.95728961818</v>
      </c>
      <c r="D603" s="6">
        <v>22132.18458663735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2"/>
  <sheetViews>
    <sheetView workbookViewId="0"/>
  </sheetViews>
  <sheetFormatPr defaultRowHeight="15"/>
  <cols>
    <col min="1" max="6" width="18.7109375" customWidth="1"/>
  </cols>
  <sheetData>
    <row r="1" spans="1:6" ht="22" customHeight="1">
      <c r="A1" s="1" t="s">
        <v>60</v>
      </c>
      <c r="B1" s="1"/>
      <c r="C1" s="1"/>
      <c r="D1" s="1"/>
      <c r="E1" s="1"/>
      <c r="F1" s="1"/>
    </row>
    <row r="2" spans="1:6">
      <c r="A2" s="3" t="s">
        <v>2</v>
      </c>
      <c r="B2" s="3" t="s">
        <v>61</v>
      </c>
      <c r="C2" s="3" t="s">
        <v>62</v>
      </c>
      <c r="D2" s="3" t="s">
        <v>63</v>
      </c>
      <c r="E2" s="3" t="s">
        <v>64</v>
      </c>
      <c r="F2" s="3" t="s">
        <v>65</v>
      </c>
    </row>
    <row r="3" spans="1:6">
      <c r="A3" t="s">
        <v>66</v>
      </c>
      <c r="B3" t="s">
        <v>67</v>
      </c>
      <c r="C3" t="s">
        <v>68</v>
      </c>
      <c r="D3" t="s">
        <v>40</v>
      </c>
      <c r="E3" t="s">
        <v>69</v>
      </c>
      <c r="F3" t="s">
        <v>70</v>
      </c>
    </row>
    <row r="4" spans="1:6">
      <c r="A4" t="s">
        <v>71</v>
      </c>
      <c r="B4" t="s">
        <v>72</v>
      </c>
      <c r="C4" t="s">
        <v>73</v>
      </c>
      <c r="D4" t="s">
        <v>41</v>
      </c>
      <c r="E4" t="s">
        <v>74</v>
      </c>
      <c r="F4" t="s">
        <v>75</v>
      </c>
    </row>
    <row r="5" spans="1:6">
      <c r="A5" t="s">
        <v>76</v>
      </c>
      <c r="B5" t="s">
        <v>77</v>
      </c>
      <c r="C5" t="s">
        <v>78</v>
      </c>
      <c r="D5" t="s">
        <v>42</v>
      </c>
      <c r="E5" t="s">
        <v>79</v>
      </c>
      <c r="F5" t="s">
        <v>80</v>
      </c>
    </row>
    <row r="6" spans="1:6">
      <c r="A6" t="s">
        <v>81</v>
      </c>
      <c r="B6" t="s">
        <v>82</v>
      </c>
      <c r="C6" t="s">
        <v>83</v>
      </c>
      <c r="D6" t="s">
        <v>43</v>
      </c>
      <c r="E6" t="s">
        <v>84</v>
      </c>
      <c r="F6" t="s">
        <v>85</v>
      </c>
    </row>
    <row r="7" spans="1:6">
      <c r="A7" t="s">
        <v>86</v>
      </c>
      <c r="B7" t="s">
        <v>87</v>
      </c>
      <c r="C7" t="s">
        <v>88</v>
      </c>
      <c r="D7" t="s">
        <v>44</v>
      </c>
      <c r="E7" t="s">
        <v>89</v>
      </c>
      <c r="F7" t="s">
        <v>90</v>
      </c>
    </row>
    <row r="8" spans="1:6">
      <c r="A8" t="s">
        <v>91</v>
      </c>
      <c r="B8" t="s">
        <v>92</v>
      </c>
      <c r="C8" t="s">
        <v>93</v>
      </c>
      <c r="D8" t="s">
        <v>45</v>
      </c>
      <c r="E8" t="s">
        <v>69</v>
      </c>
      <c r="F8" t="s">
        <v>94</v>
      </c>
    </row>
    <row r="9" spans="1:6">
      <c r="A9" t="s">
        <v>95</v>
      </c>
      <c r="B9" t="s">
        <v>96</v>
      </c>
      <c r="C9" t="s">
        <v>97</v>
      </c>
      <c r="D9" t="s">
        <v>46</v>
      </c>
      <c r="E9" t="s">
        <v>74</v>
      </c>
      <c r="F9" t="s">
        <v>98</v>
      </c>
    </row>
    <row r="10" spans="1:6">
      <c r="A10" t="s">
        <v>99</v>
      </c>
      <c r="B10" t="s">
        <v>100</v>
      </c>
      <c r="C10" t="s">
        <v>101</v>
      </c>
      <c r="D10" t="s">
        <v>47</v>
      </c>
      <c r="E10" t="s">
        <v>79</v>
      </c>
      <c r="F10" t="s">
        <v>102</v>
      </c>
    </row>
    <row r="11" spans="1:6">
      <c r="A11" t="s">
        <v>103</v>
      </c>
      <c r="B11" t="s">
        <v>104</v>
      </c>
      <c r="C11" t="s">
        <v>105</v>
      </c>
      <c r="D11" t="s">
        <v>48</v>
      </c>
      <c r="E11" t="s">
        <v>84</v>
      </c>
      <c r="F11" t="s">
        <v>106</v>
      </c>
    </row>
    <row r="12" spans="1:6">
      <c r="A12" t="s">
        <v>107</v>
      </c>
      <c r="B12" t="s">
        <v>108</v>
      </c>
      <c r="C12" t="s">
        <v>109</v>
      </c>
      <c r="D12" t="s">
        <v>49</v>
      </c>
      <c r="E12" t="s">
        <v>89</v>
      </c>
      <c r="F12" t="s">
        <v>110</v>
      </c>
    </row>
    <row r="13" spans="1:6">
      <c r="A13" t="s">
        <v>111</v>
      </c>
      <c r="B13" t="s">
        <v>112</v>
      </c>
      <c r="C13" t="s">
        <v>113</v>
      </c>
      <c r="D13" t="s">
        <v>50</v>
      </c>
      <c r="E13" t="s">
        <v>69</v>
      </c>
      <c r="F13" t="s">
        <v>114</v>
      </c>
    </row>
    <row r="14" spans="1:6">
      <c r="A14" t="s">
        <v>115</v>
      </c>
      <c r="B14" t="s">
        <v>116</v>
      </c>
      <c r="C14" t="s">
        <v>117</v>
      </c>
      <c r="D14" t="s">
        <v>51</v>
      </c>
      <c r="E14" t="s">
        <v>74</v>
      </c>
      <c r="F14" t="s">
        <v>118</v>
      </c>
    </row>
    <row r="15" spans="1:6">
      <c r="A15" t="s">
        <v>119</v>
      </c>
      <c r="B15" t="s">
        <v>120</v>
      </c>
      <c r="C15" t="s">
        <v>121</v>
      </c>
      <c r="D15" t="s">
        <v>52</v>
      </c>
      <c r="E15" t="s">
        <v>79</v>
      </c>
      <c r="F15" t="s">
        <v>122</v>
      </c>
    </row>
    <row r="16" spans="1:6">
      <c r="A16" t="s">
        <v>123</v>
      </c>
      <c r="B16" t="s">
        <v>124</v>
      </c>
      <c r="C16" t="s">
        <v>125</v>
      </c>
      <c r="D16" t="s">
        <v>53</v>
      </c>
      <c r="E16" t="s">
        <v>84</v>
      </c>
      <c r="F16" t="s">
        <v>126</v>
      </c>
    </row>
    <row r="17" spans="1:6">
      <c r="A17" t="s">
        <v>127</v>
      </c>
      <c r="B17" t="s">
        <v>128</v>
      </c>
      <c r="C17" t="s">
        <v>129</v>
      </c>
      <c r="D17" t="s">
        <v>54</v>
      </c>
      <c r="E17" t="s">
        <v>89</v>
      </c>
      <c r="F17" t="s">
        <v>130</v>
      </c>
    </row>
    <row r="18" spans="1:6">
      <c r="A18" t="s">
        <v>131</v>
      </c>
      <c r="B18" t="s">
        <v>132</v>
      </c>
      <c r="C18" t="s">
        <v>133</v>
      </c>
      <c r="D18" t="s">
        <v>55</v>
      </c>
      <c r="E18" t="s">
        <v>69</v>
      </c>
      <c r="F18" t="s">
        <v>134</v>
      </c>
    </row>
    <row r="19" spans="1:6">
      <c r="A19" t="s">
        <v>135</v>
      </c>
      <c r="B19" t="s">
        <v>136</v>
      </c>
      <c r="C19" t="s">
        <v>137</v>
      </c>
      <c r="D19" t="s">
        <v>56</v>
      </c>
      <c r="E19" t="s">
        <v>74</v>
      </c>
      <c r="F19" t="s">
        <v>138</v>
      </c>
    </row>
    <row r="20" spans="1:6">
      <c r="A20" t="s">
        <v>139</v>
      </c>
      <c r="B20" t="s">
        <v>140</v>
      </c>
      <c r="C20" t="s">
        <v>141</v>
      </c>
      <c r="D20" t="s">
        <v>57</v>
      </c>
      <c r="E20" t="s">
        <v>79</v>
      </c>
      <c r="F20" t="s">
        <v>142</v>
      </c>
    </row>
    <row r="21" spans="1:6">
      <c r="A21" t="s">
        <v>143</v>
      </c>
      <c r="B21" t="s">
        <v>144</v>
      </c>
      <c r="C21" t="s">
        <v>145</v>
      </c>
      <c r="D21" t="s">
        <v>58</v>
      </c>
      <c r="E21" t="s">
        <v>84</v>
      </c>
      <c r="F21" t="s">
        <v>146</v>
      </c>
    </row>
    <row r="22" spans="1:6">
      <c r="A22" t="s">
        <v>147</v>
      </c>
      <c r="B22" t="s">
        <v>148</v>
      </c>
      <c r="C22" t="s">
        <v>149</v>
      </c>
      <c r="D22" t="s">
        <v>59</v>
      </c>
      <c r="E22" t="s">
        <v>89</v>
      </c>
      <c r="F22" t="s">
        <v>150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Financier</vt:lpstr>
      <vt:lpstr>Operationnel</vt:lpstr>
      <vt:lpstr>Social</vt:lpstr>
      <vt:lpstr>Fintech</vt:lpstr>
      <vt:lpstr>Discipline</vt:lpstr>
      <vt:lpstr>KPI Hebdo</vt:lpstr>
      <vt:lpstr>Rapport Motos</vt:lpstr>
      <vt:lpstr>Bénéficiaires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2026-07-01T13:32:34Z</dcterms:created>
  <dcterms:modified xsi:type="dcterms:W3CDTF">2026-07-01T13:32:34Z</dcterms:modified>
</cp:coreProperties>
</file>