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Bénéficiaires" sheetId="7" r:id="rId7"/>
  </sheets>
  <calcPr calcId="124519" fullCalcOnLoad="1"/>
</workbook>
</file>

<file path=xl/sharedStrings.xml><?xml version="1.0" encoding="utf-8"?>
<sst xmlns="http://schemas.openxmlformats.org/spreadsheetml/2006/main" count="160" uniqueCount="133">
  <si>
    <t>date</t>
  </si>
  <si>
    <t>montant_total_attendu</t>
  </si>
  <si>
    <t>montant_total_rembourse</t>
  </si>
  <si>
    <t>montant_total_finance</t>
  </si>
  <si>
    <t>montant_en_defaut</t>
  </si>
  <si>
    <t>paiements_temps</t>
  </si>
  <si>
    <t>paiements_attendus</t>
  </si>
  <si>
    <t>total_collecte</t>
  </si>
  <si>
    <t>nombre_beneficiaires</t>
  </si>
  <si>
    <t>montant_recupere</t>
  </si>
  <si>
    <t>montant_total_prete</t>
  </si>
  <si>
    <t>cout_total_projet</t>
  </si>
  <si>
    <t>beneficiaires_finances</t>
  </si>
  <si>
    <t>montant_recupere_apres_defaut</t>
  </si>
  <si>
    <t>motos_actives</t>
  </si>
  <si>
    <t>total_motos</t>
  </si>
  <si>
    <t>jours_actifs</t>
  </si>
  <si>
    <t>jours_totaux</t>
  </si>
  <si>
    <t>courses</t>
  </si>
  <si>
    <t>jours_sans_activite</t>
  </si>
  <si>
    <t>motos_panne</t>
  </si>
  <si>
    <t>revenus_estimes</t>
  </si>
  <si>
    <t>beneficiaires_actifs</t>
  </si>
  <si>
    <t>beneficiaires_initial</t>
  </si>
  <si>
    <t>emplois_directs</t>
  </si>
  <si>
    <t>emplois_indirects</t>
  </si>
  <si>
    <t>revenus_avant</t>
  </si>
  <si>
    <t>revenus_apres</t>
  </si>
  <si>
    <t>paiements_digitaux</t>
  </si>
  <si>
    <t>paiements_totaux</t>
  </si>
  <si>
    <t>volume_transactions</t>
  </si>
  <si>
    <t>commissions</t>
  </si>
  <si>
    <t>utilisateurs_actifs</t>
  </si>
  <si>
    <t>transactions</t>
  </si>
  <si>
    <t>Nom</t>
  </si>
  <si>
    <t>Téléphone</t>
  </si>
  <si>
    <t>Moto</t>
  </si>
  <si>
    <t>Zone/Quartier</t>
  </si>
  <si>
    <t>Date_Integration</t>
  </si>
  <si>
    <t>Bénéficiaire 1</t>
  </si>
  <si>
    <t>Bénéficiaire 2</t>
  </si>
  <si>
    <t>Bénéficiaire 3</t>
  </si>
  <si>
    <t>Bénéficiaire 4</t>
  </si>
  <si>
    <t>Bénéficiaire 5</t>
  </si>
  <si>
    <t>Bénéficiaire 6</t>
  </si>
  <si>
    <t>Bénéficiaire 7</t>
  </si>
  <si>
    <t>Bénéficiaire 8</t>
  </si>
  <si>
    <t>Bénéficiaire 9</t>
  </si>
  <si>
    <t>Bénéficiaire 10</t>
  </si>
  <si>
    <t>Bénéficiaire 11</t>
  </si>
  <si>
    <t>Bénéficiaire 12</t>
  </si>
  <si>
    <t>Bénéficiaire 13</t>
  </si>
  <si>
    <t>Bénéficiaire 14</t>
  </si>
  <si>
    <t>Bénéficiaire 15</t>
  </si>
  <si>
    <t>Bénéficiaire 16</t>
  </si>
  <si>
    <t>Bénéficiaire 17</t>
  </si>
  <si>
    <t>Bénéficiaire 18</t>
  </si>
  <si>
    <t>Bénéficiaire 19</t>
  </si>
  <si>
    <t>Bénéficiaire 20</t>
  </si>
  <si>
    <t>+237 670 110 220</t>
  </si>
  <si>
    <t>+237 670 110 221</t>
  </si>
  <si>
    <t>+237 670 110 222</t>
  </si>
  <si>
    <t>+237 670 110 223</t>
  </si>
  <si>
    <t>+237 670 110 224</t>
  </si>
  <si>
    <t>+237 670 110 225</t>
  </si>
  <si>
    <t>+237 670 110 226</t>
  </si>
  <si>
    <t>+237 670 110 227</t>
  </si>
  <si>
    <t>+237 670 110 228</t>
  </si>
  <si>
    <t>+237 670 110 229</t>
  </si>
  <si>
    <t>+237 670 110 230</t>
  </si>
  <si>
    <t>+237 670 110 231</t>
  </si>
  <si>
    <t>+237 670 110 232</t>
  </si>
  <si>
    <t>+237 670 110 233</t>
  </si>
  <si>
    <t>+237 670 110 234</t>
  </si>
  <si>
    <t>+237 670 110 235</t>
  </si>
  <si>
    <t>+237 670 110 236</t>
  </si>
  <si>
    <t>+237 670 110 237</t>
  </si>
  <si>
    <t>+237 670 110 238</t>
  </si>
  <si>
    <t>+237 670 110 239</t>
  </si>
  <si>
    <t>MOTO-1001</t>
  </si>
  <si>
    <t>MOTO-1002</t>
  </si>
  <si>
    <t>MOTO-1003</t>
  </si>
  <si>
    <t>MOTO-1004</t>
  </si>
  <si>
    <t>MOTO-1005</t>
  </si>
  <si>
    <t>MOTO-1006</t>
  </si>
  <si>
    <t>MOTO-1007</t>
  </si>
  <si>
    <t>MOTO-1008</t>
  </si>
  <si>
    <t>MOTO-1009</t>
  </si>
  <si>
    <t>MOTO-1010</t>
  </si>
  <si>
    <t>MOTO-1011</t>
  </si>
  <si>
    <t>MOTO-1012</t>
  </si>
  <si>
    <t>MOTO-1013</t>
  </si>
  <si>
    <t>MOTO-1014</t>
  </si>
  <si>
    <t>MOTO-1015</t>
  </si>
  <si>
    <t>MOTO-1016</t>
  </si>
  <si>
    <t>MOTO-1017</t>
  </si>
  <si>
    <t>MOTO-1018</t>
  </si>
  <si>
    <t>MOTO-1019</t>
  </si>
  <si>
    <t>MOTO-1020</t>
  </si>
  <si>
    <t>Bonaberi</t>
  </si>
  <si>
    <t>Akwa</t>
  </si>
  <si>
    <t>Deido</t>
  </si>
  <si>
    <t>Makepe</t>
  </si>
  <si>
    <t>Bonamoussadi</t>
  </si>
  <si>
    <t>2023-01-01</t>
  </si>
  <si>
    <t>2023-01-08</t>
  </si>
  <si>
    <t>2023-01-15</t>
  </si>
  <si>
    <t>2023-01-22</t>
  </si>
  <si>
    <t>2023-01-29</t>
  </si>
  <si>
    <t>2023-02-05</t>
  </si>
  <si>
    <t>2023-02-12</t>
  </si>
  <si>
    <t>2023-02-19</t>
  </si>
  <si>
    <t>2023-02-26</t>
  </si>
  <si>
    <t>2023-03-05</t>
  </si>
  <si>
    <t>2023-03-12</t>
  </si>
  <si>
    <t>2023-03-19</t>
  </si>
  <si>
    <t>2023-03-26</t>
  </si>
  <si>
    <t>2023-04-02</t>
  </si>
  <si>
    <t>2023-04-09</t>
  </si>
  <si>
    <t>2023-04-16</t>
  </si>
  <si>
    <t>2023-04-23</t>
  </si>
  <si>
    <t>2023-04-30</t>
  </si>
  <si>
    <t>2023-05-07</t>
  </si>
  <si>
    <t>2023-05-14</t>
  </si>
  <si>
    <t>Performance (%)</t>
  </si>
  <si>
    <t>Montant moyen / bénéf (FCFA)</t>
  </si>
  <si>
    <t>Taux motos actives (%)</t>
  </si>
  <si>
    <t>Taux de pannes (%)</t>
  </si>
  <si>
    <t>Taux maintien (%)</t>
  </si>
  <si>
    <t>Amélioration revenus (%)</t>
  </si>
  <si>
    <t>Emplois créés</t>
  </si>
  <si>
    <t>Taux digitalisation (%)</t>
  </si>
  <si>
    <t>Score discipline (%)</t>
  </si>
</sst>
</file>

<file path=xl/styles.xml><?xml version="1.0" encoding="utf-8"?>
<styleSheet xmlns="http://schemas.openxmlformats.org/spreadsheetml/2006/main">
  <numFmts count="3">
    <numFmt numFmtId="164" formatCode="YYYY-MM-DD HH:MM:SS"/>
    <numFmt numFmtId="165" formatCode="0.00%"/>
    <numFmt numFmtId="166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 wrapText="1"/>
    </xf>
    <xf numFmtId="164" fontId="0" fillId="0" borderId="0" xfId="0" applyNumberFormat="1"/>
    <xf numFmtId="165" fontId="0" fillId="3" borderId="1" xfId="0" applyNumberFormat="1" applyFill="1" applyBorder="1"/>
    <xf numFmtId="166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3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124</v>
      </c>
      <c r="P1" s="1" t="s">
        <v>125</v>
      </c>
    </row>
    <row r="2" spans="1:16">
      <c r="A2" s="2">
        <v>45383</v>
      </c>
      <c r="B2">
        <v>493645.3793139897</v>
      </c>
      <c r="C2">
        <v>434327.8621197357</v>
      </c>
      <c r="D2">
        <v>10000000</v>
      </c>
      <c r="E2">
        <v>226839.9436015147</v>
      </c>
      <c r="F2">
        <v>49</v>
      </c>
      <c r="G2">
        <v>50</v>
      </c>
      <c r="H2">
        <v>424385.9941841833</v>
      </c>
      <c r="I2">
        <v>50</v>
      </c>
      <c r="J2">
        <v>11505.38171424083</v>
      </c>
      <c r="K2">
        <v>10000000</v>
      </c>
      <c r="L2">
        <v>100000</v>
      </c>
      <c r="M2">
        <v>50</v>
      </c>
      <c r="N2">
        <v>5271.885168480726</v>
      </c>
      <c r="O2" s="3">
        <f>IF(B2=0, 0, H2/B2)</f>
        <v>0</v>
      </c>
      <c r="P2" s="4">
        <f>IF(I2=0, 0, H2/I2)</f>
        <v>0</v>
      </c>
    </row>
    <row r="3" spans="1:16">
      <c r="A3" s="2">
        <v>45384</v>
      </c>
      <c r="B3">
        <v>456381.1463646519</v>
      </c>
      <c r="C3">
        <v>453053.7752877968</v>
      </c>
      <c r="D3">
        <v>10000000</v>
      </c>
      <c r="E3">
        <v>205557.6937116839</v>
      </c>
      <c r="F3">
        <v>39</v>
      </c>
      <c r="G3">
        <v>50</v>
      </c>
      <c r="H3">
        <v>511061.2936217328</v>
      </c>
      <c r="I3">
        <v>50</v>
      </c>
      <c r="J3">
        <v>11983.45320482067</v>
      </c>
      <c r="K3">
        <v>10000000</v>
      </c>
      <c r="L3">
        <v>100000</v>
      </c>
      <c r="M3">
        <v>50</v>
      </c>
      <c r="N3">
        <v>5664.159683990094</v>
      </c>
      <c r="O3" s="3">
        <f>IF(B3=0, 0, H3/B3)</f>
        <v>0</v>
      </c>
      <c r="P3" s="4">
        <f>IF(I3=0, 0, H3/I3)</f>
        <v>0</v>
      </c>
    </row>
    <row r="4" spans="1:16">
      <c r="A4" s="2">
        <v>45385</v>
      </c>
      <c r="B4">
        <v>394703.9122846924</v>
      </c>
      <c r="C4">
        <v>371256.5413761474</v>
      </c>
      <c r="D4">
        <v>10000000</v>
      </c>
      <c r="E4">
        <v>185363.3200982215</v>
      </c>
      <c r="F4">
        <v>45</v>
      </c>
      <c r="G4">
        <v>50</v>
      </c>
      <c r="H4">
        <v>486987.0457054129</v>
      </c>
      <c r="I4">
        <v>50</v>
      </c>
      <c r="J4">
        <v>7653.311322407956</v>
      </c>
      <c r="K4">
        <v>10000000</v>
      </c>
      <c r="L4">
        <v>100000</v>
      </c>
      <c r="M4">
        <v>50</v>
      </c>
      <c r="N4">
        <v>5591.15244233651</v>
      </c>
      <c r="O4" s="3">
        <f>IF(B4=0, 0, H4/B4)</f>
        <v>0</v>
      </c>
      <c r="P4" s="4">
        <f>IF(I4=0, 0, H4/I4)</f>
        <v>0</v>
      </c>
    </row>
    <row r="5" spans="1:16">
      <c r="A5" s="2">
        <v>45386</v>
      </c>
      <c r="B5">
        <v>511392.4924307726</v>
      </c>
      <c r="C5">
        <v>503408.1000559106</v>
      </c>
      <c r="D5">
        <v>10000000</v>
      </c>
      <c r="E5">
        <v>183962.8694743191</v>
      </c>
      <c r="F5">
        <v>51</v>
      </c>
      <c r="G5">
        <v>50</v>
      </c>
      <c r="H5">
        <v>458863.6778290983</v>
      </c>
      <c r="I5">
        <v>50</v>
      </c>
      <c r="J5">
        <v>9756.349573260379</v>
      </c>
      <c r="K5">
        <v>10000000</v>
      </c>
      <c r="L5">
        <v>100000</v>
      </c>
      <c r="M5">
        <v>50</v>
      </c>
      <c r="N5">
        <v>4100.33051376091</v>
      </c>
      <c r="O5" s="3">
        <f>IF(B5=0, 0, H5/B5)</f>
        <v>0</v>
      </c>
      <c r="P5" s="4">
        <f>IF(I5=0, 0, H5/I5)</f>
        <v>0</v>
      </c>
    </row>
    <row r="6" spans="1:16">
      <c r="A6" s="2">
        <v>45387</v>
      </c>
      <c r="B6">
        <v>499389.9835166802</v>
      </c>
      <c r="C6">
        <v>598666.1715810976</v>
      </c>
      <c r="D6">
        <v>10000000</v>
      </c>
      <c r="E6">
        <v>215943.248466615</v>
      </c>
      <c r="F6">
        <v>53</v>
      </c>
      <c r="G6">
        <v>50</v>
      </c>
      <c r="H6">
        <v>468129.0099426164</v>
      </c>
      <c r="I6">
        <v>50</v>
      </c>
      <c r="J6">
        <v>11646.83356624163</v>
      </c>
      <c r="K6">
        <v>10000000</v>
      </c>
      <c r="L6">
        <v>100000</v>
      </c>
      <c r="M6">
        <v>50</v>
      </c>
      <c r="N6">
        <v>3670.603650412196</v>
      </c>
      <c r="O6" s="3">
        <f>IF(B6=0, 0, H6/B6)</f>
        <v>0</v>
      </c>
      <c r="P6" s="4">
        <f>IF(I6=0, 0, H6/I6)</f>
        <v>0</v>
      </c>
    </row>
    <row r="7" spans="1:16">
      <c r="A7" s="2">
        <v>45388</v>
      </c>
      <c r="B7">
        <v>449696.2245809882</v>
      </c>
      <c r="C7">
        <v>536768.3358024193</v>
      </c>
      <c r="D7">
        <v>10000000</v>
      </c>
      <c r="E7">
        <v>204206.6784134559</v>
      </c>
      <c r="F7">
        <v>41</v>
      </c>
      <c r="G7">
        <v>50</v>
      </c>
      <c r="H7">
        <v>535415.31707789</v>
      </c>
      <c r="I7">
        <v>50</v>
      </c>
      <c r="J7">
        <v>10441.99806979415</v>
      </c>
      <c r="K7">
        <v>10000000</v>
      </c>
      <c r="L7">
        <v>100000</v>
      </c>
      <c r="M7">
        <v>50</v>
      </c>
      <c r="N7">
        <v>6045.977306467833</v>
      </c>
      <c r="O7" s="3">
        <f>IF(B7=0, 0, H7/B7)</f>
        <v>0</v>
      </c>
      <c r="P7" s="4">
        <f>IF(I7=0, 0, H7/I7)</f>
        <v>0</v>
      </c>
    </row>
    <row r="8" spans="1:16">
      <c r="A8" s="2">
        <v>45389</v>
      </c>
      <c r="B8">
        <v>451594.7327288359</v>
      </c>
      <c r="C8">
        <v>416864.4334411807</v>
      </c>
      <c r="D8">
        <v>10000000</v>
      </c>
      <c r="E8">
        <v>191876.3008110393</v>
      </c>
      <c r="F8">
        <v>42</v>
      </c>
      <c r="G8">
        <v>50</v>
      </c>
      <c r="H8">
        <v>483914.0607879292</v>
      </c>
      <c r="I8">
        <v>50</v>
      </c>
      <c r="J8">
        <v>10065.3702987974</v>
      </c>
      <c r="K8">
        <v>10000000</v>
      </c>
      <c r="L8">
        <v>100000</v>
      </c>
      <c r="M8">
        <v>50</v>
      </c>
      <c r="N8">
        <v>5716.343041561295</v>
      </c>
      <c r="O8" s="3">
        <f>IF(B8=0, 0, H8/B8)</f>
        <v>0</v>
      </c>
      <c r="P8" s="4">
        <f>IF(I8=0, 0, H8/I8)</f>
        <v>0</v>
      </c>
    </row>
    <row r="9" spans="1:16">
      <c r="A9" s="2">
        <v>45390</v>
      </c>
      <c r="B9">
        <v>491115.7432744828</v>
      </c>
      <c r="C9">
        <v>498634.4954101164</v>
      </c>
      <c r="D9">
        <v>10000000</v>
      </c>
      <c r="E9">
        <v>205271.183545514</v>
      </c>
      <c r="F9">
        <v>43</v>
      </c>
      <c r="G9">
        <v>50</v>
      </c>
      <c r="H9">
        <v>415086.9162565423</v>
      </c>
      <c r="I9">
        <v>50</v>
      </c>
      <c r="J9">
        <v>8297.910423895613</v>
      </c>
      <c r="K9">
        <v>10000000</v>
      </c>
      <c r="L9">
        <v>100000</v>
      </c>
      <c r="M9">
        <v>50</v>
      </c>
      <c r="N9">
        <v>3922.656978228487</v>
      </c>
      <c r="O9" s="3">
        <f>IF(B9=0, 0, H9/B9)</f>
        <v>0</v>
      </c>
      <c r="P9" s="4">
        <f>IF(I9=0, 0, H9/I9)</f>
        <v>0</v>
      </c>
    </row>
    <row r="10" spans="1:16">
      <c r="A10" s="2">
        <v>45391</v>
      </c>
      <c r="B10">
        <v>451221.1869599861</v>
      </c>
      <c r="C10">
        <v>402942.3022238618</v>
      </c>
      <c r="D10">
        <v>10000000</v>
      </c>
      <c r="E10">
        <v>185045.3837073969</v>
      </c>
      <c r="F10">
        <v>48</v>
      </c>
      <c r="G10">
        <v>50</v>
      </c>
      <c r="H10">
        <v>558812.6181181637</v>
      </c>
      <c r="I10">
        <v>50</v>
      </c>
      <c r="J10">
        <v>8890.60410013125</v>
      </c>
      <c r="K10">
        <v>10000000</v>
      </c>
      <c r="L10">
        <v>100000</v>
      </c>
      <c r="M10">
        <v>50</v>
      </c>
      <c r="N10">
        <v>3852.200372208685</v>
      </c>
      <c r="O10" s="3">
        <f>IF(B10=0, 0, H10/B10)</f>
        <v>0</v>
      </c>
      <c r="P10" s="4">
        <f>IF(I10=0, 0, H10/I10)</f>
        <v>0</v>
      </c>
    </row>
    <row r="11" spans="1:16">
      <c r="A11" s="2">
        <v>45392</v>
      </c>
      <c r="B11">
        <v>420689.5623026744</v>
      </c>
      <c r="C11">
        <v>522402.7436656601</v>
      </c>
      <c r="D11">
        <v>10000000</v>
      </c>
      <c r="E11">
        <v>233186.0175224457</v>
      </c>
      <c r="F11">
        <v>44</v>
      </c>
      <c r="G11">
        <v>50</v>
      </c>
      <c r="H11">
        <v>466803.4231665413</v>
      </c>
      <c r="I11">
        <v>50</v>
      </c>
      <c r="J11">
        <v>12355.2609612883</v>
      </c>
      <c r="K11">
        <v>10000000</v>
      </c>
      <c r="L11">
        <v>100000</v>
      </c>
      <c r="M11">
        <v>50</v>
      </c>
      <c r="N11">
        <v>3740.816645561712</v>
      </c>
      <c r="O11" s="3">
        <f>IF(B11=0, 0, H11/B11)</f>
        <v>0</v>
      </c>
      <c r="P11" s="4">
        <f>IF(I11=0, 0, H11/I11)</f>
        <v>0</v>
      </c>
    </row>
    <row r="12" spans="1:16">
      <c r="A12" s="2">
        <v>45393</v>
      </c>
      <c r="B12">
        <v>470294.9340446929</v>
      </c>
      <c r="C12">
        <v>465835.6067070418</v>
      </c>
      <c r="D12">
        <v>10000000</v>
      </c>
      <c r="E12">
        <v>214398.1509182421</v>
      </c>
      <c r="F12">
        <v>50</v>
      </c>
      <c r="G12">
        <v>50</v>
      </c>
      <c r="H12">
        <v>525887.9981279785</v>
      </c>
      <c r="I12">
        <v>50</v>
      </c>
      <c r="J12">
        <v>8692.416227544782</v>
      </c>
      <c r="K12">
        <v>10000000</v>
      </c>
      <c r="L12">
        <v>100000</v>
      </c>
      <c r="M12">
        <v>50</v>
      </c>
      <c r="N12">
        <v>4917.368825323164</v>
      </c>
      <c r="O12" s="3">
        <f>IF(B12=0, 0, H12/B12)</f>
        <v>0</v>
      </c>
      <c r="P12" s="4">
        <f>IF(I12=0, 0, H12/I12)</f>
        <v>0</v>
      </c>
    </row>
    <row r="13" spans="1:16">
      <c r="A13" s="2">
        <v>45394</v>
      </c>
      <c r="B13">
        <v>454780.3338201803</v>
      </c>
      <c r="C13">
        <v>428178.9441229068</v>
      </c>
      <c r="D13">
        <v>10000000</v>
      </c>
      <c r="E13">
        <v>204775.9404355896</v>
      </c>
      <c r="F13">
        <v>40</v>
      </c>
      <c r="G13">
        <v>50</v>
      </c>
      <c r="H13">
        <v>456364.0389130302</v>
      </c>
      <c r="I13">
        <v>50</v>
      </c>
      <c r="J13">
        <v>11171.93187347951</v>
      </c>
      <c r="K13">
        <v>10000000</v>
      </c>
      <c r="L13">
        <v>100000</v>
      </c>
      <c r="M13">
        <v>50</v>
      </c>
      <c r="N13">
        <v>4632.608410580337</v>
      </c>
      <c r="O13" s="3">
        <f>IF(B13=0, 0, H13/B13)</f>
        <v>0</v>
      </c>
      <c r="P13" s="4">
        <f>IF(I13=0, 0, H13/I13)</f>
        <v>0</v>
      </c>
    </row>
    <row r="14" spans="1:16">
      <c r="A14" s="2">
        <v>45395</v>
      </c>
      <c r="B14">
        <v>537975.7798002912</v>
      </c>
      <c r="C14">
        <v>540285.348705261</v>
      </c>
      <c r="D14">
        <v>10000000</v>
      </c>
      <c r="E14">
        <v>225821.2033822534</v>
      </c>
      <c r="F14">
        <v>51</v>
      </c>
      <c r="G14">
        <v>50</v>
      </c>
      <c r="H14">
        <v>331113.0171518801</v>
      </c>
      <c r="I14">
        <v>50</v>
      </c>
      <c r="J14">
        <v>11111.2652204737</v>
      </c>
      <c r="K14">
        <v>10000000</v>
      </c>
      <c r="L14">
        <v>100000</v>
      </c>
      <c r="M14">
        <v>50</v>
      </c>
      <c r="N14">
        <v>5257.783527422703</v>
      </c>
      <c r="O14" s="3">
        <f>IF(B14=0, 0, H14/B14)</f>
        <v>0</v>
      </c>
      <c r="P14" s="4">
        <f>IF(I14=0, 0, H14/I14)</f>
        <v>0</v>
      </c>
    </row>
    <row r="15" spans="1:16">
      <c r="A15" s="2">
        <v>45396</v>
      </c>
      <c r="B15">
        <v>515273.3250955886</v>
      </c>
      <c r="C15">
        <v>536523.0993997363</v>
      </c>
      <c r="D15">
        <v>10000000</v>
      </c>
      <c r="E15">
        <v>234306.9440459144</v>
      </c>
      <c r="F15">
        <v>45</v>
      </c>
      <c r="G15">
        <v>50</v>
      </c>
      <c r="H15">
        <v>460458.0049379909</v>
      </c>
      <c r="I15">
        <v>50</v>
      </c>
      <c r="J15">
        <v>12735.81644410109</v>
      </c>
      <c r="K15">
        <v>10000000</v>
      </c>
      <c r="L15">
        <v>100000</v>
      </c>
      <c r="M15">
        <v>50</v>
      </c>
      <c r="N15">
        <v>3729.25279309255</v>
      </c>
      <c r="O15" s="3">
        <f>IF(B15=0, 0, H15/B15)</f>
        <v>0</v>
      </c>
      <c r="P15" s="4">
        <f>IF(I15=0, 0, H15/I15)</f>
        <v>0</v>
      </c>
    </row>
    <row r="16" spans="1:16">
      <c r="A16" s="2">
        <v>45397</v>
      </c>
      <c r="B16">
        <v>529650.8967078481</v>
      </c>
      <c r="C16">
        <v>427564.9777221395</v>
      </c>
      <c r="D16">
        <v>10000000</v>
      </c>
      <c r="E16">
        <v>204519.2696056191</v>
      </c>
      <c r="F16">
        <v>42</v>
      </c>
      <c r="G16">
        <v>50</v>
      </c>
      <c r="H16">
        <v>503027.5770098641</v>
      </c>
      <c r="I16">
        <v>50</v>
      </c>
      <c r="J16">
        <v>8379.055450397065</v>
      </c>
      <c r="K16">
        <v>10000000</v>
      </c>
      <c r="L16">
        <v>100000</v>
      </c>
      <c r="M16">
        <v>50</v>
      </c>
      <c r="N16">
        <v>4316.877990084983</v>
      </c>
      <c r="O16" s="3">
        <f>IF(B16=0, 0, H16/B16)</f>
        <v>0</v>
      </c>
      <c r="P16" s="4">
        <f>IF(I16=0, 0, H16/I16)</f>
        <v>0</v>
      </c>
    </row>
    <row r="17" spans="1:16">
      <c r="A17" s="2">
        <v>45398</v>
      </c>
      <c r="B17">
        <v>450381.6432234772</v>
      </c>
      <c r="C17">
        <v>389899.8563856973</v>
      </c>
      <c r="D17">
        <v>10000000</v>
      </c>
      <c r="E17">
        <v>210004.6149862976</v>
      </c>
      <c r="F17">
        <v>43</v>
      </c>
      <c r="G17">
        <v>50</v>
      </c>
      <c r="H17">
        <v>404362.8112500649</v>
      </c>
      <c r="I17">
        <v>50</v>
      </c>
      <c r="J17">
        <v>14634.36773517672</v>
      </c>
      <c r="K17">
        <v>10000000</v>
      </c>
      <c r="L17">
        <v>100000</v>
      </c>
      <c r="M17">
        <v>50</v>
      </c>
      <c r="N17">
        <v>5879.573184700711</v>
      </c>
      <c r="O17" s="3">
        <f>IF(B17=0, 0, H17/B17)</f>
        <v>0</v>
      </c>
      <c r="P17" s="4">
        <f>IF(I17=0, 0, H17/I17)</f>
        <v>0</v>
      </c>
    </row>
    <row r="18" spans="1:16">
      <c r="A18" s="2">
        <v>45399</v>
      </c>
      <c r="B18">
        <v>495020.6350733085</v>
      </c>
      <c r="C18">
        <v>455247.3189553149</v>
      </c>
      <c r="D18">
        <v>10000000</v>
      </c>
      <c r="E18">
        <v>222167.9190344207</v>
      </c>
      <c r="F18">
        <v>42</v>
      </c>
      <c r="G18">
        <v>50</v>
      </c>
      <c r="H18">
        <v>483428.2772121969</v>
      </c>
      <c r="I18">
        <v>50</v>
      </c>
      <c r="J18">
        <v>12695.42890054143</v>
      </c>
      <c r="K18">
        <v>10000000</v>
      </c>
      <c r="L18">
        <v>100000</v>
      </c>
      <c r="M18">
        <v>50</v>
      </c>
      <c r="N18">
        <v>4867.498556305623</v>
      </c>
      <c r="O18" s="3">
        <f>IF(B18=0, 0, H18/B18)</f>
        <v>0</v>
      </c>
      <c r="P18" s="4">
        <f>IF(I18=0, 0, H18/I18)</f>
        <v>0</v>
      </c>
    </row>
    <row r="19" spans="1:16">
      <c r="A19" s="2">
        <v>45400</v>
      </c>
      <c r="B19">
        <v>573020.0642683784</v>
      </c>
      <c r="C19">
        <v>516922.54960293</v>
      </c>
      <c r="D19">
        <v>10000000</v>
      </c>
      <c r="E19">
        <v>203354.4882150041</v>
      </c>
      <c r="F19">
        <v>48</v>
      </c>
      <c r="G19">
        <v>50</v>
      </c>
      <c r="H19">
        <v>461025.1969709177</v>
      </c>
      <c r="I19">
        <v>50</v>
      </c>
      <c r="J19">
        <v>12417.58031981815</v>
      </c>
      <c r="K19">
        <v>10000000</v>
      </c>
      <c r="L19">
        <v>100000</v>
      </c>
      <c r="M19">
        <v>50</v>
      </c>
      <c r="N19">
        <v>3994.504288610516</v>
      </c>
      <c r="O19" s="3">
        <f>IF(B19=0, 0, H19/B19)</f>
        <v>0</v>
      </c>
      <c r="P19" s="4">
        <f>IF(I19=0, 0, H19/I19)</f>
        <v>0</v>
      </c>
    </row>
    <row r="20" spans="1:16">
      <c r="A20" s="2">
        <v>45401</v>
      </c>
      <c r="B20">
        <v>490162.2550219741</v>
      </c>
      <c r="C20">
        <v>511658.9493570831</v>
      </c>
      <c r="D20">
        <v>10000000</v>
      </c>
      <c r="E20">
        <v>209221.2025428882</v>
      </c>
      <c r="F20">
        <v>44</v>
      </c>
      <c r="G20">
        <v>50</v>
      </c>
      <c r="H20">
        <v>407058.2995163593</v>
      </c>
      <c r="I20">
        <v>50</v>
      </c>
      <c r="J20">
        <v>6417.803716449853</v>
      </c>
      <c r="K20">
        <v>10000000</v>
      </c>
      <c r="L20">
        <v>100000</v>
      </c>
      <c r="M20">
        <v>50</v>
      </c>
      <c r="N20">
        <v>4122.940173710485</v>
      </c>
      <c r="O20" s="3">
        <f>IF(B20=0, 0, H20/B20)</f>
        <v>0</v>
      </c>
      <c r="P20" s="4">
        <f>IF(I20=0, 0, H20/I20)</f>
        <v>0</v>
      </c>
    </row>
    <row r="21" spans="1:16">
      <c r="A21" s="2">
        <v>45402</v>
      </c>
      <c r="B21">
        <v>495868.4858266176</v>
      </c>
      <c r="C21">
        <v>479497.5851648818</v>
      </c>
      <c r="D21">
        <v>10000000</v>
      </c>
      <c r="E21">
        <v>172728.3524920741</v>
      </c>
      <c r="F21">
        <v>42</v>
      </c>
      <c r="G21">
        <v>50</v>
      </c>
      <c r="H21">
        <v>435313.4921819763</v>
      </c>
      <c r="I21">
        <v>50</v>
      </c>
      <c r="J21">
        <v>10660.59748545865</v>
      </c>
      <c r="K21">
        <v>10000000</v>
      </c>
      <c r="L21">
        <v>100000</v>
      </c>
      <c r="M21">
        <v>50</v>
      </c>
      <c r="N21">
        <v>5158.888917583404</v>
      </c>
      <c r="O21" s="3">
        <f>IF(B21=0, 0, H21/B21)</f>
        <v>0</v>
      </c>
      <c r="P21" s="4">
        <f>IF(I21=0, 0, H21/I21)</f>
        <v>0</v>
      </c>
    </row>
    <row r="22" spans="1:16">
      <c r="A22" s="2">
        <v>45403</v>
      </c>
      <c r="B22">
        <v>455288.7099512532</v>
      </c>
      <c r="C22">
        <v>366179.7685466458</v>
      </c>
      <c r="D22">
        <v>10000000</v>
      </c>
      <c r="E22">
        <v>246695.5669517631</v>
      </c>
      <c r="F22">
        <v>48</v>
      </c>
      <c r="G22">
        <v>50</v>
      </c>
      <c r="H22">
        <v>489622.7181050243</v>
      </c>
      <c r="I22">
        <v>50</v>
      </c>
      <c r="J22">
        <v>9319.897720194971</v>
      </c>
      <c r="K22">
        <v>10000000</v>
      </c>
      <c r="L22">
        <v>100000</v>
      </c>
      <c r="M22">
        <v>50</v>
      </c>
      <c r="N22">
        <v>4177.424825145677</v>
      </c>
      <c r="O22" s="3">
        <f>IF(B22=0, 0, H22/B22)</f>
        <v>0</v>
      </c>
      <c r="P22" s="4">
        <f>IF(I22=0, 0, H22/I22)</f>
        <v>0</v>
      </c>
    </row>
    <row r="23" spans="1:16">
      <c r="A23" s="2">
        <v>45404</v>
      </c>
      <c r="B23">
        <v>418322.494106073</v>
      </c>
      <c r="C23">
        <v>532658.4046197992</v>
      </c>
      <c r="D23">
        <v>10000000</v>
      </c>
      <c r="E23">
        <v>201786.331774403</v>
      </c>
      <c r="F23">
        <v>43</v>
      </c>
      <c r="G23">
        <v>50</v>
      </c>
      <c r="H23">
        <v>594158.4500419693</v>
      </c>
      <c r="I23">
        <v>50</v>
      </c>
      <c r="J23">
        <v>11322.70529301259</v>
      </c>
      <c r="K23">
        <v>10000000</v>
      </c>
      <c r="L23">
        <v>100000</v>
      </c>
      <c r="M23">
        <v>50</v>
      </c>
      <c r="N23">
        <v>5368.687830403747</v>
      </c>
      <c r="O23" s="3">
        <f>IF(B23=0, 0, H23/B23)</f>
        <v>0</v>
      </c>
      <c r="P23" s="4">
        <f>IF(I23=0, 0, H23/I23)</f>
        <v>0</v>
      </c>
    </row>
    <row r="24" spans="1:16">
      <c r="A24" s="2">
        <v>45405</v>
      </c>
      <c r="B24">
        <v>565144.4273422362</v>
      </c>
      <c r="C24">
        <v>447442.7269523522</v>
      </c>
      <c r="D24">
        <v>10000000</v>
      </c>
      <c r="E24">
        <v>192409.0514656247</v>
      </c>
      <c r="F24">
        <v>44</v>
      </c>
      <c r="G24">
        <v>50</v>
      </c>
      <c r="H24">
        <v>475058.536785207</v>
      </c>
      <c r="I24">
        <v>50</v>
      </c>
      <c r="J24">
        <v>11831.14644841228</v>
      </c>
      <c r="K24">
        <v>10000000</v>
      </c>
      <c r="L24">
        <v>100000</v>
      </c>
      <c r="M24">
        <v>50</v>
      </c>
      <c r="N24">
        <v>4929.701474962088</v>
      </c>
      <c r="O24" s="3">
        <f>IF(B24=0, 0, H24/B24)</f>
        <v>0</v>
      </c>
      <c r="P24" s="4">
        <f>IF(I24=0, 0, H24/I24)</f>
        <v>0</v>
      </c>
    </row>
    <row r="25" spans="1:16">
      <c r="A25" s="2">
        <v>45406</v>
      </c>
      <c r="B25">
        <v>561718.9679860667</v>
      </c>
      <c r="C25">
        <v>455715.8598405081</v>
      </c>
      <c r="D25">
        <v>10000000</v>
      </c>
      <c r="E25">
        <v>175662.5174786804</v>
      </c>
      <c r="F25">
        <v>42</v>
      </c>
      <c r="G25">
        <v>50</v>
      </c>
      <c r="H25">
        <v>506869.3177669081</v>
      </c>
      <c r="I25">
        <v>50</v>
      </c>
      <c r="J25">
        <v>8154.233627951305</v>
      </c>
      <c r="K25">
        <v>10000000</v>
      </c>
      <c r="L25">
        <v>100000</v>
      </c>
      <c r="M25">
        <v>50</v>
      </c>
      <c r="N25">
        <v>6061.934516132404</v>
      </c>
      <c r="O25" s="3">
        <f>IF(B25=0, 0, H25/B25)</f>
        <v>0</v>
      </c>
      <c r="P25" s="4">
        <f>IF(I25=0, 0, H25/I25)</f>
        <v>0</v>
      </c>
    </row>
    <row r="26" spans="1:16">
      <c r="A26" s="2">
        <v>45407</v>
      </c>
      <c r="B26">
        <v>434337.5166861727</v>
      </c>
      <c r="C26">
        <v>491220.1589657255</v>
      </c>
      <c r="D26">
        <v>10000000</v>
      </c>
      <c r="E26">
        <v>238065.605190019</v>
      </c>
      <c r="F26">
        <v>52</v>
      </c>
      <c r="G26">
        <v>50</v>
      </c>
      <c r="H26">
        <v>480774.1954603907</v>
      </c>
      <c r="I26">
        <v>50</v>
      </c>
      <c r="J26">
        <v>5851.510638184146</v>
      </c>
      <c r="K26">
        <v>10000000</v>
      </c>
      <c r="L26">
        <v>100000</v>
      </c>
      <c r="M26">
        <v>50</v>
      </c>
      <c r="N26">
        <v>4200.520507775738</v>
      </c>
      <c r="O26" s="3">
        <f>IF(B26=0, 0, H26/B26)</f>
        <v>0</v>
      </c>
      <c r="P26" s="4">
        <f>IF(I26=0, 0, H26/I26)</f>
        <v>0</v>
      </c>
    </row>
    <row r="27" spans="1:16">
      <c r="A27" s="2">
        <v>45408</v>
      </c>
      <c r="B27">
        <v>547988.0499220025</v>
      </c>
      <c r="C27">
        <v>548336.5413437431</v>
      </c>
      <c r="D27">
        <v>10000000</v>
      </c>
      <c r="E27">
        <v>168015.1788265475</v>
      </c>
      <c r="F27">
        <v>45</v>
      </c>
      <c r="G27">
        <v>50</v>
      </c>
      <c r="H27">
        <v>406113.5202012096</v>
      </c>
      <c r="I27">
        <v>50</v>
      </c>
      <c r="J27">
        <v>10841.37367649777</v>
      </c>
      <c r="K27">
        <v>10000000</v>
      </c>
      <c r="L27">
        <v>100000</v>
      </c>
      <c r="M27">
        <v>50</v>
      </c>
      <c r="N27">
        <v>5128.302855022217</v>
      </c>
      <c r="O27" s="3">
        <f>IF(B27=0, 0, H27/B27)</f>
        <v>0</v>
      </c>
      <c r="P27" s="4">
        <f>IF(I27=0, 0, H27/I27)</f>
        <v>0</v>
      </c>
    </row>
    <row r="28" spans="1:16">
      <c r="A28" s="2">
        <v>45409</v>
      </c>
      <c r="B28">
        <v>522030.7867718767</v>
      </c>
      <c r="C28">
        <v>352214.4120675199</v>
      </c>
      <c r="D28">
        <v>10000000</v>
      </c>
      <c r="E28">
        <v>226409.1185601307</v>
      </c>
      <c r="F28">
        <v>54</v>
      </c>
      <c r="G28">
        <v>50</v>
      </c>
      <c r="H28">
        <v>541508.1026363616</v>
      </c>
      <c r="I28">
        <v>50</v>
      </c>
      <c r="J28">
        <v>9942.854251075418</v>
      </c>
      <c r="K28">
        <v>10000000</v>
      </c>
      <c r="L28">
        <v>100000</v>
      </c>
      <c r="M28">
        <v>50</v>
      </c>
      <c r="N28">
        <v>5102.933820323808</v>
      </c>
      <c r="O28" s="3">
        <f>IF(B28=0, 0, H28/B28)</f>
        <v>0</v>
      </c>
      <c r="P28" s="4">
        <f>IF(I28=0, 0, H28/I28)</f>
        <v>0</v>
      </c>
    </row>
    <row r="29" spans="1:16">
      <c r="A29" s="2">
        <v>45410</v>
      </c>
      <c r="B29">
        <v>499319.0184899765</v>
      </c>
      <c r="C29">
        <v>539240.4108657291</v>
      </c>
      <c r="D29">
        <v>10000000</v>
      </c>
      <c r="E29">
        <v>212582.8662941818</v>
      </c>
      <c r="F29">
        <v>35</v>
      </c>
      <c r="G29">
        <v>50</v>
      </c>
      <c r="H29">
        <v>501713.6705925093</v>
      </c>
      <c r="I29">
        <v>50</v>
      </c>
      <c r="J29">
        <v>12893.39949104091</v>
      </c>
      <c r="K29">
        <v>10000000</v>
      </c>
      <c r="L29">
        <v>100000</v>
      </c>
      <c r="M29">
        <v>50</v>
      </c>
      <c r="N29">
        <v>4685.88392030768</v>
      </c>
      <c r="O29" s="3">
        <f>IF(B29=0, 0, H29/B29)</f>
        <v>0</v>
      </c>
      <c r="P29" s="4">
        <f>IF(I29=0, 0, H29/I29)</f>
        <v>0</v>
      </c>
    </row>
    <row r="30" spans="1:16">
      <c r="A30" s="2">
        <v>45411</v>
      </c>
      <c r="B30">
        <v>418101.4395081357</v>
      </c>
      <c r="C30">
        <v>515914.1362484914</v>
      </c>
      <c r="D30">
        <v>10000000</v>
      </c>
      <c r="E30">
        <v>213191.7193939735</v>
      </c>
      <c r="F30">
        <v>56</v>
      </c>
      <c r="G30">
        <v>50</v>
      </c>
      <c r="H30">
        <v>475324.688570276</v>
      </c>
      <c r="I30">
        <v>50</v>
      </c>
      <c r="J30">
        <v>8149.306845514524</v>
      </c>
      <c r="K30">
        <v>10000000</v>
      </c>
      <c r="L30">
        <v>100000</v>
      </c>
      <c r="M30">
        <v>50</v>
      </c>
      <c r="N30">
        <v>5176.053223874062</v>
      </c>
      <c r="O30" s="3">
        <f>IF(B30=0, 0, H30/B30)</f>
        <v>0</v>
      </c>
      <c r="P30" s="4">
        <f>IF(I30=0, 0, H30/I30)</f>
        <v>0</v>
      </c>
    </row>
    <row r="31" spans="1:16">
      <c r="A31" s="2">
        <v>45412</v>
      </c>
      <c r="B31">
        <v>508313.5485757562</v>
      </c>
      <c r="C31">
        <v>411467.6224612897</v>
      </c>
      <c r="D31">
        <v>10000000</v>
      </c>
      <c r="E31">
        <v>183603.6175853384</v>
      </c>
      <c r="F31">
        <v>32</v>
      </c>
      <c r="G31">
        <v>50</v>
      </c>
      <c r="H31">
        <v>384199.0308265872</v>
      </c>
      <c r="I31">
        <v>50</v>
      </c>
      <c r="J31">
        <v>9069.265345033004</v>
      </c>
      <c r="K31">
        <v>10000000</v>
      </c>
      <c r="L31">
        <v>100000</v>
      </c>
      <c r="M31">
        <v>50</v>
      </c>
      <c r="N31">
        <v>5622.024741229629</v>
      </c>
      <c r="O31" s="3">
        <f>IF(B31=0, 0, H31/B31)</f>
        <v>0</v>
      </c>
      <c r="P31" s="4">
        <f>IF(I31=0, 0, H31/I31)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1"/>
  <sheetViews>
    <sheetView workbookViewId="0"/>
  </sheetViews>
  <sheetFormatPr defaultRowHeight="15"/>
  <sheetData>
    <row r="1" spans="1:10">
      <c r="A1" t="s">
        <v>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s="1" t="s">
        <v>126</v>
      </c>
      <c r="J1" s="1" t="s">
        <v>127</v>
      </c>
    </row>
    <row r="2" spans="1:10">
      <c r="A2" s="2">
        <v>45383</v>
      </c>
      <c r="B2">
        <v>47</v>
      </c>
      <c r="C2">
        <v>50</v>
      </c>
      <c r="D2">
        <v>44</v>
      </c>
      <c r="E2">
        <v>50</v>
      </c>
      <c r="F2">
        <v>181</v>
      </c>
      <c r="G2">
        <v>3</v>
      </c>
      <c r="H2">
        <v>0</v>
      </c>
      <c r="I2" s="3">
        <f>IF(C2=0, 0, B2/C2)</f>
        <v>0</v>
      </c>
      <c r="J2" s="3">
        <f>IF(C2=0, 0, H2/C2)</f>
        <v>0</v>
      </c>
    </row>
    <row r="3" spans="1:10">
      <c r="A3" s="2">
        <v>45384</v>
      </c>
      <c r="B3">
        <v>49</v>
      </c>
      <c r="C3">
        <v>50</v>
      </c>
      <c r="D3">
        <v>51</v>
      </c>
      <c r="E3">
        <v>50</v>
      </c>
      <c r="F3">
        <v>213</v>
      </c>
      <c r="G3">
        <v>1</v>
      </c>
      <c r="H3">
        <v>0</v>
      </c>
      <c r="I3" s="3">
        <f>IF(C3=0, 0, B3/C3)</f>
        <v>0</v>
      </c>
      <c r="J3" s="3">
        <f>IF(C3=0, 0, H3/C3)</f>
        <v>0</v>
      </c>
    </row>
    <row r="4" spans="1:10">
      <c r="A4" s="2">
        <v>45385</v>
      </c>
      <c r="B4">
        <v>50</v>
      </c>
      <c r="C4">
        <v>50</v>
      </c>
      <c r="D4">
        <v>42</v>
      </c>
      <c r="E4">
        <v>50</v>
      </c>
      <c r="F4">
        <v>156</v>
      </c>
      <c r="G4">
        <v>2</v>
      </c>
      <c r="H4">
        <v>1</v>
      </c>
      <c r="I4" s="3">
        <f>IF(C4=0, 0, B4/C4)</f>
        <v>0</v>
      </c>
      <c r="J4" s="3">
        <f>IF(C4=0, 0, H4/C4)</f>
        <v>0</v>
      </c>
    </row>
    <row r="5" spans="1:10">
      <c r="A5" s="2">
        <v>45386</v>
      </c>
      <c r="B5">
        <v>50</v>
      </c>
      <c r="C5">
        <v>50</v>
      </c>
      <c r="D5">
        <v>42</v>
      </c>
      <c r="E5">
        <v>50</v>
      </c>
      <c r="F5">
        <v>250</v>
      </c>
      <c r="G5">
        <v>1</v>
      </c>
      <c r="H5">
        <v>1</v>
      </c>
      <c r="I5" s="3">
        <f>IF(C5=0, 0, B5/C5)</f>
        <v>0</v>
      </c>
      <c r="J5" s="3">
        <f>IF(C5=0, 0, H5/C5)</f>
        <v>0</v>
      </c>
    </row>
    <row r="6" spans="1:10">
      <c r="A6" s="2">
        <v>45387</v>
      </c>
      <c r="B6">
        <v>50</v>
      </c>
      <c r="C6">
        <v>50</v>
      </c>
      <c r="D6">
        <v>47</v>
      </c>
      <c r="E6">
        <v>50</v>
      </c>
      <c r="F6">
        <v>224</v>
      </c>
      <c r="G6">
        <v>3</v>
      </c>
      <c r="H6">
        <v>1</v>
      </c>
      <c r="I6" s="3">
        <f>IF(C6=0, 0, B6/C6)</f>
        <v>0</v>
      </c>
      <c r="J6" s="3">
        <f>IF(C6=0, 0, H6/C6)</f>
        <v>0</v>
      </c>
    </row>
    <row r="7" spans="1:10">
      <c r="A7" s="2">
        <v>45388</v>
      </c>
      <c r="B7">
        <v>48</v>
      </c>
      <c r="C7">
        <v>50</v>
      </c>
      <c r="D7">
        <v>51</v>
      </c>
      <c r="E7">
        <v>50</v>
      </c>
      <c r="F7">
        <v>162</v>
      </c>
      <c r="G7">
        <v>2</v>
      </c>
      <c r="H7">
        <v>2</v>
      </c>
      <c r="I7" s="3">
        <f>IF(C7=0, 0, B7/C7)</f>
        <v>0</v>
      </c>
      <c r="J7" s="3">
        <f>IF(C7=0, 0, H7/C7)</f>
        <v>0</v>
      </c>
    </row>
    <row r="8" spans="1:10">
      <c r="A8" s="2">
        <v>45389</v>
      </c>
      <c r="B8">
        <v>51</v>
      </c>
      <c r="C8">
        <v>50</v>
      </c>
      <c r="D8">
        <v>45</v>
      </c>
      <c r="E8">
        <v>50</v>
      </c>
      <c r="F8">
        <v>306</v>
      </c>
      <c r="G8">
        <v>2</v>
      </c>
      <c r="H8">
        <v>1</v>
      </c>
      <c r="I8" s="3">
        <f>IF(C8=0, 0, B8/C8)</f>
        <v>0</v>
      </c>
      <c r="J8" s="3">
        <f>IF(C8=0, 0, H8/C8)</f>
        <v>0</v>
      </c>
    </row>
    <row r="9" spans="1:10">
      <c r="A9" s="2">
        <v>45390</v>
      </c>
      <c r="B9">
        <v>46</v>
      </c>
      <c r="C9">
        <v>50</v>
      </c>
      <c r="D9">
        <v>46</v>
      </c>
      <c r="E9">
        <v>50</v>
      </c>
      <c r="F9">
        <v>201</v>
      </c>
      <c r="G9">
        <v>3</v>
      </c>
      <c r="H9">
        <v>2</v>
      </c>
      <c r="I9" s="3">
        <f>IF(C9=0, 0, B9/C9)</f>
        <v>0</v>
      </c>
      <c r="J9" s="3">
        <f>IF(C9=0, 0, H9/C9)</f>
        <v>0</v>
      </c>
    </row>
    <row r="10" spans="1:10">
      <c r="A10" s="2">
        <v>45391</v>
      </c>
      <c r="B10">
        <v>50</v>
      </c>
      <c r="C10">
        <v>50</v>
      </c>
      <c r="D10">
        <v>45</v>
      </c>
      <c r="E10">
        <v>50</v>
      </c>
      <c r="F10">
        <v>251</v>
      </c>
      <c r="G10">
        <v>3</v>
      </c>
      <c r="H10">
        <v>2</v>
      </c>
      <c r="I10" s="3">
        <f>IF(C10=0, 0, B10/C10)</f>
        <v>0</v>
      </c>
      <c r="J10" s="3">
        <f>IF(C10=0, 0, H10/C10)</f>
        <v>0</v>
      </c>
    </row>
    <row r="11" spans="1:10">
      <c r="A11" s="2">
        <v>45392</v>
      </c>
      <c r="B11">
        <v>45</v>
      </c>
      <c r="C11">
        <v>50</v>
      </c>
      <c r="D11">
        <v>43</v>
      </c>
      <c r="E11">
        <v>50</v>
      </c>
      <c r="F11">
        <v>229</v>
      </c>
      <c r="G11">
        <v>4</v>
      </c>
      <c r="H11">
        <v>0</v>
      </c>
      <c r="I11" s="3">
        <f>IF(C11=0, 0, B11/C11)</f>
        <v>0</v>
      </c>
      <c r="J11" s="3">
        <f>IF(C11=0, 0, H11/C11)</f>
        <v>0</v>
      </c>
    </row>
    <row r="12" spans="1:10">
      <c r="A12" s="2">
        <v>45393</v>
      </c>
      <c r="B12">
        <v>50</v>
      </c>
      <c r="C12">
        <v>50</v>
      </c>
      <c r="D12">
        <v>54</v>
      </c>
      <c r="E12">
        <v>50</v>
      </c>
      <c r="F12">
        <v>210</v>
      </c>
      <c r="G12">
        <v>2</v>
      </c>
      <c r="H12">
        <v>0</v>
      </c>
      <c r="I12" s="3">
        <f>IF(C12=0, 0, B12/C12)</f>
        <v>0</v>
      </c>
      <c r="J12" s="3">
        <f>IF(C12=0, 0, H12/C12)</f>
        <v>0</v>
      </c>
    </row>
    <row r="13" spans="1:10">
      <c r="A13" s="2">
        <v>45394</v>
      </c>
      <c r="B13">
        <v>46</v>
      </c>
      <c r="C13">
        <v>50</v>
      </c>
      <c r="D13">
        <v>41</v>
      </c>
      <c r="E13">
        <v>50</v>
      </c>
      <c r="F13">
        <v>216</v>
      </c>
      <c r="G13">
        <v>1</v>
      </c>
      <c r="H13">
        <v>0</v>
      </c>
      <c r="I13" s="3">
        <f>IF(C13=0, 0, B13/C13)</f>
        <v>0</v>
      </c>
      <c r="J13" s="3">
        <f>IF(C13=0, 0, H13/C13)</f>
        <v>0</v>
      </c>
    </row>
    <row r="14" spans="1:10">
      <c r="A14" s="2">
        <v>45395</v>
      </c>
      <c r="B14">
        <v>47</v>
      </c>
      <c r="C14">
        <v>50</v>
      </c>
      <c r="D14">
        <v>43</v>
      </c>
      <c r="E14">
        <v>50</v>
      </c>
      <c r="F14">
        <v>136</v>
      </c>
      <c r="G14">
        <v>2</v>
      </c>
      <c r="H14">
        <v>1</v>
      </c>
      <c r="I14" s="3">
        <f>IF(C14=0, 0, B14/C14)</f>
        <v>0</v>
      </c>
      <c r="J14" s="3">
        <f>IF(C14=0, 0, H14/C14)</f>
        <v>0</v>
      </c>
    </row>
    <row r="15" spans="1:10">
      <c r="A15" s="2">
        <v>45396</v>
      </c>
      <c r="B15">
        <v>47</v>
      </c>
      <c r="C15">
        <v>50</v>
      </c>
      <c r="D15">
        <v>41</v>
      </c>
      <c r="E15">
        <v>50</v>
      </c>
      <c r="F15">
        <v>258</v>
      </c>
      <c r="G15">
        <v>1</v>
      </c>
      <c r="H15">
        <v>1</v>
      </c>
      <c r="I15" s="3">
        <f>IF(C15=0, 0, B15/C15)</f>
        <v>0</v>
      </c>
      <c r="J15" s="3">
        <f>IF(C15=0, 0, H15/C15)</f>
        <v>0</v>
      </c>
    </row>
    <row r="16" spans="1:10">
      <c r="A16" s="2">
        <v>45397</v>
      </c>
      <c r="B16">
        <v>48</v>
      </c>
      <c r="C16">
        <v>50</v>
      </c>
      <c r="D16">
        <v>45</v>
      </c>
      <c r="E16">
        <v>50</v>
      </c>
      <c r="F16">
        <v>273</v>
      </c>
      <c r="G16">
        <v>2</v>
      </c>
      <c r="H16">
        <v>2</v>
      </c>
      <c r="I16" s="3">
        <f>IF(C16=0, 0, B16/C16)</f>
        <v>0</v>
      </c>
      <c r="J16" s="3">
        <f>IF(C16=0, 0, H16/C16)</f>
        <v>0</v>
      </c>
    </row>
    <row r="17" spans="1:10">
      <c r="A17" s="2">
        <v>45398</v>
      </c>
      <c r="B17">
        <v>47</v>
      </c>
      <c r="C17">
        <v>50</v>
      </c>
      <c r="D17">
        <v>48</v>
      </c>
      <c r="E17">
        <v>50</v>
      </c>
      <c r="F17">
        <v>185</v>
      </c>
      <c r="G17">
        <v>3</v>
      </c>
      <c r="H17">
        <v>2</v>
      </c>
      <c r="I17" s="3">
        <f>IF(C17=0, 0, B17/C17)</f>
        <v>0</v>
      </c>
      <c r="J17" s="3">
        <f>IF(C17=0, 0, H17/C17)</f>
        <v>0</v>
      </c>
    </row>
    <row r="18" spans="1:10">
      <c r="A18" s="2">
        <v>45399</v>
      </c>
      <c r="B18">
        <v>49</v>
      </c>
      <c r="C18">
        <v>50</v>
      </c>
      <c r="D18">
        <v>44</v>
      </c>
      <c r="E18">
        <v>50</v>
      </c>
      <c r="F18">
        <v>214</v>
      </c>
      <c r="G18">
        <v>1</v>
      </c>
      <c r="H18">
        <v>0</v>
      </c>
      <c r="I18" s="3">
        <f>IF(C18=0, 0, B18/C18)</f>
        <v>0</v>
      </c>
      <c r="J18" s="3">
        <f>IF(C18=0, 0, H18/C18)</f>
        <v>0</v>
      </c>
    </row>
    <row r="19" spans="1:10">
      <c r="A19" s="2">
        <v>45400</v>
      </c>
      <c r="B19">
        <v>43</v>
      </c>
      <c r="C19">
        <v>50</v>
      </c>
      <c r="D19">
        <v>47</v>
      </c>
      <c r="E19">
        <v>50</v>
      </c>
      <c r="F19">
        <v>211</v>
      </c>
      <c r="G19">
        <v>3</v>
      </c>
      <c r="H19">
        <v>1</v>
      </c>
      <c r="I19" s="3">
        <f>IF(C19=0, 0, B19/C19)</f>
        <v>0</v>
      </c>
      <c r="J19" s="3">
        <f>IF(C19=0, 0, H19/C19)</f>
        <v>0</v>
      </c>
    </row>
    <row r="20" spans="1:10">
      <c r="A20" s="2">
        <v>45401</v>
      </c>
      <c r="B20">
        <v>47</v>
      </c>
      <c r="C20">
        <v>50</v>
      </c>
      <c r="D20">
        <v>44</v>
      </c>
      <c r="E20">
        <v>50</v>
      </c>
      <c r="F20">
        <v>223</v>
      </c>
      <c r="G20">
        <v>4</v>
      </c>
      <c r="H20">
        <v>1</v>
      </c>
      <c r="I20" s="3">
        <f>IF(C20=0, 0, B20/C20)</f>
        <v>0</v>
      </c>
      <c r="J20" s="3">
        <f>IF(C20=0, 0, H20/C20)</f>
        <v>0</v>
      </c>
    </row>
    <row r="21" spans="1:10">
      <c r="A21" s="2">
        <v>45402</v>
      </c>
      <c r="B21">
        <v>48</v>
      </c>
      <c r="C21">
        <v>50</v>
      </c>
      <c r="D21">
        <v>46</v>
      </c>
      <c r="E21">
        <v>50</v>
      </c>
      <c r="F21">
        <v>197</v>
      </c>
      <c r="G21">
        <v>1</v>
      </c>
      <c r="H21">
        <v>1</v>
      </c>
      <c r="I21" s="3">
        <f>IF(C21=0, 0, B21/C21)</f>
        <v>0</v>
      </c>
      <c r="J21" s="3">
        <f>IF(C21=0, 0, H21/C21)</f>
        <v>0</v>
      </c>
    </row>
    <row r="22" spans="1:10">
      <c r="A22" s="2">
        <v>45403</v>
      </c>
      <c r="B22">
        <v>50</v>
      </c>
      <c r="C22">
        <v>50</v>
      </c>
      <c r="D22">
        <v>44</v>
      </c>
      <c r="E22">
        <v>50</v>
      </c>
      <c r="F22">
        <v>215</v>
      </c>
      <c r="G22">
        <v>4</v>
      </c>
      <c r="H22">
        <v>1</v>
      </c>
      <c r="I22" s="3">
        <f>IF(C22=0, 0, B22/C22)</f>
        <v>0</v>
      </c>
      <c r="J22" s="3">
        <f>IF(C22=0, 0, H22/C22)</f>
        <v>0</v>
      </c>
    </row>
    <row r="23" spans="1:10">
      <c r="A23" s="2">
        <v>45404</v>
      </c>
      <c r="B23">
        <v>49</v>
      </c>
      <c r="C23">
        <v>50</v>
      </c>
      <c r="D23">
        <v>52</v>
      </c>
      <c r="E23">
        <v>50</v>
      </c>
      <c r="F23">
        <v>222</v>
      </c>
      <c r="G23">
        <v>1</v>
      </c>
      <c r="H23">
        <v>2</v>
      </c>
      <c r="I23" s="3">
        <f>IF(C23=0, 0, B23/C23)</f>
        <v>0</v>
      </c>
      <c r="J23" s="3">
        <f>IF(C23=0, 0, H23/C23)</f>
        <v>0</v>
      </c>
    </row>
    <row r="24" spans="1:10">
      <c r="A24" s="2">
        <v>45405</v>
      </c>
      <c r="B24">
        <v>44</v>
      </c>
      <c r="C24">
        <v>50</v>
      </c>
      <c r="D24">
        <v>48</v>
      </c>
      <c r="E24">
        <v>50</v>
      </c>
      <c r="F24">
        <v>159</v>
      </c>
      <c r="G24">
        <v>2</v>
      </c>
      <c r="H24">
        <v>1</v>
      </c>
      <c r="I24" s="3">
        <f>IF(C24=0, 0, B24/C24)</f>
        <v>0</v>
      </c>
      <c r="J24" s="3">
        <f>IF(C24=0, 0, H24/C24)</f>
        <v>0</v>
      </c>
    </row>
    <row r="25" spans="1:10">
      <c r="A25" s="2">
        <v>45406</v>
      </c>
      <c r="B25">
        <v>48</v>
      </c>
      <c r="C25">
        <v>50</v>
      </c>
      <c r="D25">
        <v>48</v>
      </c>
      <c r="E25">
        <v>50</v>
      </c>
      <c r="F25">
        <v>208</v>
      </c>
      <c r="G25">
        <v>3</v>
      </c>
      <c r="H25">
        <v>0</v>
      </c>
      <c r="I25" s="3">
        <f>IF(C25=0, 0, B25/C25)</f>
        <v>0</v>
      </c>
      <c r="J25" s="3">
        <f>IF(C25=0, 0, H25/C25)</f>
        <v>0</v>
      </c>
    </row>
    <row r="26" spans="1:10">
      <c r="A26" s="2">
        <v>45407</v>
      </c>
      <c r="B26">
        <v>48</v>
      </c>
      <c r="C26">
        <v>50</v>
      </c>
      <c r="D26">
        <v>43</v>
      </c>
      <c r="E26">
        <v>50</v>
      </c>
      <c r="F26">
        <v>237</v>
      </c>
      <c r="G26">
        <v>2</v>
      </c>
      <c r="H26">
        <v>0</v>
      </c>
      <c r="I26" s="3">
        <f>IF(C26=0, 0, B26/C26)</f>
        <v>0</v>
      </c>
      <c r="J26" s="3">
        <f>IF(C26=0, 0, H26/C26)</f>
        <v>0</v>
      </c>
    </row>
    <row r="27" spans="1:10">
      <c r="A27" s="2">
        <v>45408</v>
      </c>
      <c r="B27">
        <v>45</v>
      </c>
      <c r="C27">
        <v>50</v>
      </c>
      <c r="D27">
        <v>41</v>
      </c>
      <c r="E27">
        <v>50</v>
      </c>
      <c r="F27">
        <v>213</v>
      </c>
      <c r="G27">
        <v>3</v>
      </c>
      <c r="H27">
        <v>1</v>
      </c>
      <c r="I27" s="3">
        <f>IF(C27=0, 0, B27/C27)</f>
        <v>0</v>
      </c>
      <c r="J27" s="3">
        <f>IF(C27=0, 0, H27/C27)</f>
        <v>0</v>
      </c>
    </row>
    <row r="28" spans="1:10">
      <c r="A28" s="2">
        <v>45409</v>
      </c>
      <c r="B28">
        <v>46</v>
      </c>
      <c r="C28">
        <v>50</v>
      </c>
      <c r="D28">
        <v>42</v>
      </c>
      <c r="E28">
        <v>50</v>
      </c>
      <c r="F28">
        <v>208</v>
      </c>
      <c r="G28">
        <v>2</v>
      </c>
      <c r="H28">
        <v>0</v>
      </c>
      <c r="I28" s="3">
        <f>IF(C28=0, 0, B28/C28)</f>
        <v>0</v>
      </c>
      <c r="J28" s="3">
        <f>IF(C28=0, 0, H28/C28)</f>
        <v>0</v>
      </c>
    </row>
    <row r="29" spans="1:10">
      <c r="A29" s="2">
        <v>45410</v>
      </c>
      <c r="B29">
        <v>48</v>
      </c>
      <c r="C29">
        <v>50</v>
      </c>
      <c r="D29">
        <v>45</v>
      </c>
      <c r="E29">
        <v>50</v>
      </c>
      <c r="F29">
        <v>225</v>
      </c>
      <c r="G29">
        <v>2</v>
      </c>
      <c r="H29">
        <v>2</v>
      </c>
      <c r="I29" s="3">
        <f>IF(C29=0, 0, B29/C29)</f>
        <v>0</v>
      </c>
      <c r="J29" s="3">
        <f>IF(C29=0, 0, H29/C29)</f>
        <v>0</v>
      </c>
    </row>
    <row r="30" spans="1:10">
      <c r="A30" s="2">
        <v>45411</v>
      </c>
      <c r="B30">
        <v>43</v>
      </c>
      <c r="C30">
        <v>50</v>
      </c>
      <c r="D30">
        <v>51</v>
      </c>
      <c r="E30">
        <v>50</v>
      </c>
      <c r="F30">
        <v>223</v>
      </c>
      <c r="G30">
        <v>2</v>
      </c>
      <c r="H30">
        <v>1</v>
      </c>
      <c r="I30" s="3">
        <f>IF(C30=0, 0, B30/C30)</f>
        <v>0</v>
      </c>
      <c r="J30" s="3">
        <f>IF(C30=0, 0, H30/C30)</f>
        <v>0</v>
      </c>
    </row>
    <row r="31" spans="1:10">
      <c r="A31" s="2">
        <v>45412</v>
      </c>
      <c r="B31">
        <v>49</v>
      </c>
      <c r="C31">
        <v>50</v>
      </c>
      <c r="D31">
        <v>46</v>
      </c>
      <c r="E31">
        <v>50</v>
      </c>
      <c r="F31">
        <v>233</v>
      </c>
      <c r="G31">
        <v>4</v>
      </c>
      <c r="H31">
        <v>0</v>
      </c>
      <c r="I31" s="3">
        <f>IF(C31=0, 0, B31/C31)</f>
        <v>0</v>
      </c>
      <c r="J31" s="3">
        <f>IF(C31=0, 0, H31/C31)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31"/>
  <sheetViews>
    <sheetView workbookViewId="0"/>
  </sheetViews>
  <sheetFormatPr defaultRowHeight="15"/>
  <sheetData>
    <row r="1" spans="1:11">
      <c r="A1" t="s">
        <v>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s="1" t="s">
        <v>128</v>
      </c>
      <c r="J1" s="1" t="s">
        <v>129</v>
      </c>
      <c r="K1" s="1" t="s">
        <v>130</v>
      </c>
    </row>
    <row r="2" spans="1:11">
      <c r="A2" s="2">
        <v>45383</v>
      </c>
      <c r="B2">
        <v>146391.1399441192</v>
      </c>
      <c r="C2">
        <v>46</v>
      </c>
      <c r="D2">
        <v>50</v>
      </c>
      <c r="E2">
        <v>50</v>
      </c>
      <c r="F2">
        <v>99</v>
      </c>
      <c r="G2">
        <v>100000</v>
      </c>
      <c r="H2">
        <v>111225.4176251615</v>
      </c>
      <c r="I2" s="3">
        <f>IF(D2=0, 0, C2/D2)</f>
        <v>0</v>
      </c>
      <c r="J2" s="3">
        <f>IF(G2=0, 0, (H2-G2)/G2)</f>
        <v>0</v>
      </c>
      <c r="K2" s="4">
        <f>E2+F2</f>
        <v>0</v>
      </c>
    </row>
    <row r="3" spans="1:11">
      <c r="A3" s="2">
        <v>45384</v>
      </c>
      <c r="B3">
        <v>151011.5761365639</v>
      </c>
      <c r="C3">
        <v>46</v>
      </c>
      <c r="D3">
        <v>50</v>
      </c>
      <c r="E3">
        <v>50</v>
      </c>
      <c r="F3">
        <v>105</v>
      </c>
      <c r="G3">
        <v>100000</v>
      </c>
      <c r="H3">
        <v>156642.6046907666</v>
      </c>
      <c r="I3" s="3">
        <f>IF(D3=0, 0, C3/D3)</f>
        <v>0</v>
      </c>
      <c r="J3" s="3">
        <f>IF(G3=0, 0, (H3-G3)/G3)</f>
        <v>0</v>
      </c>
      <c r="K3" s="4">
        <f>E3+F3</f>
        <v>0</v>
      </c>
    </row>
    <row r="4" spans="1:11">
      <c r="A4" s="2">
        <v>45385</v>
      </c>
      <c r="B4">
        <v>145348.9551065743</v>
      </c>
      <c r="C4">
        <v>49</v>
      </c>
      <c r="D4">
        <v>50</v>
      </c>
      <c r="E4">
        <v>50</v>
      </c>
      <c r="F4">
        <v>98</v>
      </c>
      <c r="G4">
        <v>100000</v>
      </c>
      <c r="H4">
        <v>125973.8425835718</v>
      </c>
      <c r="I4" s="3">
        <f>IF(D4=0, 0, C4/D4)</f>
        <v>0</v>
      </c>
      <c r="J4" s="3">
        <f>IF(G4=0, 0, (H4-G4)/G4)</f>
        <v>0</v>
      </c>
      <c r="K4" s="4">
        <f>E4+F4</f>
        <v>0</v>
      </c>
    </row>
    <row r="5" spans="1:11">
      <c r="A5" s="2">
        <v>45386</v>
      </c>
      <c r="B5">
        <v>159582.1928007665</v>
      </c>
      <c r="C5">
        <v>49</v>
      </c>
      <c r="D5">
        <v>50</v>
      </c>
      <c r="E5">
        <v>50</v>
      </c>
      <c r="F5">
        <v>94</v>
      </c>
      <c r="G5">
        <v>100000</v>
      </c>
      <c r="H5">
        <v>125783.4551976133</v>
      </c>
      <c r="I5" s="3">
        <f>IF(D5=0, 0, C5/D5)</f>
        <v>0</v>
      </c>
      <c r="J5" s="3">
        <f>IF(G5=0, 0, (H5-G5)/G5)</f>
        <v>0</v>
      </c>
      <c r="K5" s="4">
        <f>E5+F5</f>
        <v>0</v>
      </c>
    </row>
    <row r="6" spans="1:11">
      <c r="A6" s="2">
        <v>45387</v>
      </c>
      <c r="B6">
        <v>125164.4968283967</v>
      </c>
      <c r="C6">
        <v>49</v>
      </c>
      <c r="D6">
        <v>50</v>
      </c>
      <c r="E6">
        <v>50</v>
      </c>
      <c r="F6">
        <v>107</v>
      </c>
      <c r="G6">
        <v>100000</v>
      </c>
      <c r="H6">
        <v>139659.8103828497</v>
      </c>
      <c r="I6" s="3">
        <f>IF(D6=0, 0, C6/D6)</f>
        <v>0</v>
      </c>
      <c r="J6" s="3">
        <f>IF(G6=0, 0, (H6-G6)/G6)</f>
        <v>0</v>
      </c>
      <c r="K6" s="4">
        <f>E6+F6</f>
        <v>0</v>
      </c>
    </row>
    <row r="7" spans="1:11">
      <c r="A7" s="2">
        <v>45388</v>
      </c>
      <c r="B7">
        <v>151144.5977361465</v>
      </c>
      <c r="C7">
        <v>50</v>
      </c>
      <c r="D7">
        <v>50</v>
      </c>
      <c r="E7">
        <v>50</v>
      </c>
      <c r="F7">
        <v>91</v>
      </c>
      <c r="G7">
        <v>100000</v>
      </c>
      <c r="H7">
        <v>128857.6365800039</v>
      </c>
      <c r="I7" s="3">
        <f>IF(D7=0, 0, C7/D7)</f>
        <v>0</v>
      </c>
      <c r="J7" s="3">
        <f>IF(G7=0, 0, (H7-G7)/G7)</f>
        <v>0</v>
      </c>
      <c r="K7" s="4">
        <f>E7+F7</f>
        <v>0</v>
      </c>
    </row>
    <row r="8" spans="1:11">
      <c r="A8" s="2">
        <v>45389</v>
      </c>
      <c r="B8">
        <v>130873.6165716724</v>
      </c>
      <c r="C8">
        <v>49</v>
      </c>
      <c r="D8">
        <v>50</v>
      </c>
      <c r="E8">
        <v>50</v>
      </c>
      <c r="F8">
        <v>93</v>
      </c>
      <c r="G8">
        <v>100000</v>
      </c>
      <c r="H8">
        <v>143530.6186089719</v>
      </c>
      <c r="I8" s="3">
        <f>IF(D8=0, 0, C8/D8)</f>
        <v>0</v>
      </c>
      <c r="J8" s="3">
        <f>IF(G8=0, 0, (H8-G8)/G8)</f>
        <v>0</v>
      </c>
      <c r="K8" s="4">
        <f>E8+F8</f>
        <v>0</v>
      </c>
    </row>
    <row r="9" spans="1:11">
      <c r="A9" s="2">
        <v>45390</v>
      </c>
      <c r="B9">
        <v>181482.6630435414</v>
      </c>
      <c r="C9">
        <v>49</v>
      </c>
      <c r="D9">
        <v>50</v>
      </c>
      <c r="E9">
        <v>50</v>
      </c>
      <c r="F9">
        <v>102</v>
      </c>
      <c r="G9">
        <v>100000</v>
      </c>
      <c r="H9">
        <v>158395.2027942082</v>
      </c>
      <c r="I9" s="3">
        <f>IF(D9=0, 0, C9/D9)</f>
        <v>0</v>
      </c>
      <c r="J9" s="3">
        <f>IF(G9=0, 0, (H9-G9)/G9)</f>
        <v>0</v>
      </c>
      <c r="K9" s="4">
        <f>E9+F9</f>
        <v>0</v>
      </c>
    </row>
    <row r="10" spans="1:11">
      <c r="A10" s="2">
        <v>45391</v>
      </c>
      <c r="B10">
        <v>134890.8884906571</v>
      </c>
      <c r="C10">
        <v>50</v>
      </c>
      <c r="D10">
        <v>50</v>
      </c>
      <c r="E10">
        <v>50</v>
      </c>
      <c r="F10">
        <v>96</v>
      </c>
      <c r="G10">
        <v>100000</v>
      </c>
      <c r="H10">
        <v>113513.7553570183</v>
      </c>
      <c r="I10" s="3">
        <f>IF(D10=0, 0, C10/D10)</f>
        <v>0</v>
      </c>
      <c r="J10" s="3">
        <f>IF(G10=0, 0, (H10-G10)/G10)</f>
        <v>0</v>
      </c>
      <c r="K10" s="4">
        <f>E10+F10</f>
        <v>0</v>
      </c>
    </row>
    <row r="11" spans="1:11">
      <c r="A11" s="2">
        <v>45392</v>
      </c>
      <c r="B11">
        <v>157668.3101600282</v>
      </c>
      <c r="C11">
        <v>48</v>
      </c>
      <c r="D11">
        <v>50</v>
      </c>
      <c r="E11">
        <v>50</v>
      </c>
      <c r="F11">
        <v>101</v>
      </c>
      <c r="G11">
        <v>100000</v>
      </c>
      <c r="H11">
        <v>123742.8476439269</v>
      </c>
      <c r="I11" s="3">
        <f>IF(D11=0, 0, C11/D11)</f>
        <v>0</v>
      </c>
      <c r="J11" s="3">
        <f>IF(G11=0, 0, (H11-G11)/G11)</f>
        <v>0</v>
      </c>
      <c r="K11" s="4">
        <f>E11+F11</f>
        <v>0</v>
      </c>
    </row>
    <row r="12" spans="1:11">
      <c r="A12" s="2">
        <v>45393</v>
      </c>
      <c r="B12">
        <v>151288.7898635463</v>
      </c>
      <c r="C12">
        <v>49</v>
      </c>
      <c r="D12">
        <v>50</v>
      </c>
      <c r="E12">
        <v>50</v>
      </c>
      <c r="F12">
        <v>101</v>
      </c>
      <c r="G12">
        <v>100000</v>
      </c>
      <c r="H12">
        <v>136949.4381191816</v>
      </c>
      <c r="I12" s="3">
        <f>IF(D12=0, 0, C12/D12)</f>
        <v>0</v>
      </c>
      <c r="J12" s="3">
        <f>IF(G12=0, 0, (H12-G12)/G12)</f>
        <v>0</v>
      </c>
      <c r="K12" s="4">
        <f>E12+F12</f>
        <v>0</v>
      </c>
    </row>
    <row r="13" spans="1:11">
      <c r="A13" s="2">
        <v>45394</v>
      </c>
      <c r="B13">
        <v>134186.5615931207</v>
      </c>
      <c r="C13">
        <v>49</v>
      </c>
      <c r="D13">
        <v>50</v>
      </c>
      <c r="E13">
        <v>50</v>
      </c>
      <c r="F13">
        <v>101</v>
      </c>
      <c r="G13">
        <v>100000</v>
      </c>
      <c r="H13">
        <v>132598.1394564541</v>
      </c>
      <c r="I13" s="3">
        <f>IF(D13=0, 0, C13/D13)</f>
        <v>0</v>
      </c>
      <c r="J13" s="3">
        <f>IF(G13=0, 0, (H13-G13)/G13)</f>
        <v>0</v>
      </c>
      <c r="K13" s="4">
        <f>E13+F13</f>
        <v>0</v>
      </c>
    </row>
    <row r="14" spans="1:11">
      <c r="A14" s="2">
        <v>45395</v>
      </c>
      <c r="B14">
        <v>179033.2718417775</v>
      </c>
      <c r="C14">
        <v>46</v>
      </c>
      <c r="D14">
        <v>50</v>
      </c>
      <c r="E14">
        <v>50</v>
      </c>
      <c r="F14">
        <v>98</v>
      </c>
      <c r="G14">
        <v>100000</v>
      </c>
      <c r="H14">
        <v>103387.1420001699</v>
      </c>
      <c r="I14" s="3">
        <f>IF(D14=0, 0, C14/D14)</f>
        <v>0</v>
      </c>
      <c r="J14" s="3">
        <f>IF(G14=0, 0, (H14-G14)/G14)</f>
        <v>0</v>
      </c>
      <c r="K14" s="4">
        <f>E14+F14</f>
        <v>0</v>
      </c>
    </row>
    <row r="15" spans="1:11">
      <c r="A15" s="2">
        <v>45396</v>
      </c>
      <c r="B15">
        <v>145841.2840669089</v>
      </c>
      <c r="C15">
        <v>50</v>
      </c>
      <c r="D15">
        <v>50</v>
      </c>
      <c r="E15">
        <v>50</v>
      </c>
      <c r="F15">
        <v>95</v>
      </c>
      <c r="G15">
        <v>100000</v>
      </c>
      <c r="H15">
        <v>153454.8789297133</v>
      </c>
      <c r="I15" s="3">
        <f>IF(D15=0, 0, C15/D15)</f>
        <v>0</v>
      </c>
      <c r="J15" s="3">
        <f>IF(G15=0, 0, (H15-G15)/G15)</f>
        <v>0</v>
      </c>
      <c r="K15" s="4">
        <f>E15+F15</f>
        <v>0</v>
      </c>
    </row>
    <row r="16" spans="1:11">
      <c r="A16" s="2">
        <v>45397</v>
      </c>
      <c r="B16">
        <v>148974.5224435105</v>
      </c>
      <c r="C16">
        <v>47</v>
      </c>
      <c r="D16">
        <v>50</v>
      </c>
      <c r="E16">
        <v>50</v>
      </c>
      <c r="F16">
        <v>98</v>
      </c>
      <c r="G16">
        <v>100000</v>
      </c>
      <c r="H16">
        <v>116982.4895604343</v>
      </c>
      <c r="I16" s="3">
        <f>IF(D16=0, 0, C16/D16)</f>
        <v>0</v>
      </c>
      <c r="J16" s="3">
        <f>IF(G16=0, 0, (H16-G16)/G16)</f>
        <v>0</v>
      </c>
      <c r="K16" s="4">
        <f>E16+F16</f>
        <v>0</v>
      </c>
    </row>
    <row r="17" spans="1:11">
      <c r="A17" s="2">
        <v>45398</v>
      </c>
      <c r="B17">
        <v>185534.3338870773</v>
      </c>
      <c r="C17">
        <v>45</v>
      </c>
      <c r="D17">
        <v>50</v>
      </c>
      <c r="E17">
        <v>50</v>
      </c>
      <c r="F17">
        <v>95</v>
      </c>
      <c r="G17">
        <v>100000</v>
      </c>
      <c r="H17">
        <v>140114.1813472628</v>
      </c>
      <c r="I17" s="3">
        <f>IF(D17=0, 0, C17/D17)</f>
        <v>0</v>
      </c>
      <c r="J17" s="3">
        <f>IF(G17=0, 0, (H17-G17)/G17)</f>
        <v>0</v>
      </c>
      <c r="K17" s="4">
        <f>E17+F17</f>
        <v>0</v>
      </c>
    </row>
    <row r="18" spans="1:11">
      <c r="A18" s="2">
        <v>45399</v>
      </c>
      <c r="B18">
        <v>165020.6503666715</v>
      </c>
      <c r="C18">
        <v>48</v>
      </c>
      <c r="D18">
        <v>50</v>
      </c>
      <c r="E18">
        <v>50</v>
      </c>
      <c r="F18">
        <v>96</v>
      </c>
      <c r="G18">
        <v>100000</v>
      </c>
      <c r="H18">
        <v>145375.5269311373</v>
      </c>
      <c r="I18" s="3">
        <f>IF(D18=0, 0, C18/D18)</f>
        <v>0</v>
      </c>
      <c r="J18" s="3">
        <f>IF(G18=0, 0, (H18-G18)/G18)</f>
        <v>0</v>
      </c>
      <c r="K18" s="4">
        <f>E18+F18</f>
        <v>0</v>
      </c>
    </row>
    <row r="19" spans="1:11">
      <c r="A19" s="2">
        <v>45400</v>
      </c>
      <c r="B19">
        <v>149844.1772444801</v>
      </c>
      <c r="C19">
        <v>47</v>
      </c>
      <c r="D19">
        <v>50</v>
      </c>
      <c r="E19">
        <v>50</v>
      </c>
      <c r="F19">
        <v>94</v>
      </c>
      <c r="G19">
        <v>100000</v>
      </c>
      <c r="H19">
        <v>135516.5980517882</v>
      </c>
      <c r="I19" s="3">
        <f>IF(D19=0, 0, C19/D19)</f>
        <v>0</v>
      </c>
      <c r="J19" s="3">
        <f>IF(G19=0, 0, (H19-G19)/G19)</f>
        <v>0</v>
      </c>
      <c r="K19" s="4">
        <f>E19+F19</f>
        <v>0</v>
      </c>
    </row>
    <row r="20" spans="1:11">
      <c r="A20" s="2">
        <v>45401</v>
      </c>
      <c r="B20">
        <v>117270.4246670839</v>
      </c>
      <c r="C20">
        <v>51</v>
      </c>
      <c r="D20">
        <v>50</v>
      </c>
      <c r="E20">
        <v>50</v>
      </c>
      <c r="F20">
        <v>100</v>
      </c>
      <c r="G20">
        <v>100000</v>
      </c>
      <c r="H20">
        <v>142599.0914925668</v>
      </c>
      <c r="I20" s="3">
        <f>IF(D20=0, 0, C20/D20)</f>
        <v>0</v>
      </c>
      <c r="J20" s="3">
        <f>IF(G20=0, 0, (H20-G20)/G20)</f>
        <v>0</v>
      </c>
      <c r="K20" s="4">
        <f>E20+F20</f>
        <v>0</v>
      </c>
    </row>
    <row r="21" spans="1:11">
      <c r="A21" s="2">
        <v>45402</v>
      </c>
      <c r="B21">
        <v>164593.1465775182</v>
      </c>
      <c r="C21">
        <v>50</v>
      </c>
      <c r="D21">
        <v>50</v>
      </c>
      <c r="E21">
        <v>50</v>
      </c>
      <c r="F21">
        <v>103</v>
      </c>
      <c r="G21">
        <v>100000</v>
      </c>
      <c r="H21">
        <v>141863.3185662146</v>
      </c>
      <c r="I21" s="3">
        <f>IF(D21=0, 0, C21/D21)</f>
        <v>0</v>
      </c>
      <c r="J21" s="3">
        <f>IF(G21=0, 0, (H21-G21)/G21)</f>
        <v>0</v>
      </c>
      <c r="K21" s="4">
        <f>E21+F21</f>
        <v>0</v>
      </c>
    </row>
    <row r="22" spans="1:11">
      <c r="A22" s="2">
        <v>45403</v>
      </c>
      <c r="B22">
        <v>142376.1081456944</v>
      </c>
      <c r="C22">
        <v>47</v>
      </c>
      <c r="D22">
        <v>50</v>
      </c>
      <c r="E22">
        <v>50</v>
      </c>
      <c r="F22">
        <v>95</v>
      </c>
      <c r="G22">
        <v>100000</v>
      </c>
      <c r="H22">
        <v>139898.126417628</v>
      </c>
      <c r="I22" s="3">
        <f>IF(D22=0, 0, C22/D22)</f>
        <v>0</v>
      </c>
      <c r="J22" s="3">
        <f>IF(G22=0, 0, (H22-G22)/G22)</f>
        <v>0</v>
      </c>
      <c r="K22" s="4">
        <f>E22+F22</f>
        <v>0</v>
      </c>
    </row>
    <row r="23" spans="1:11">
      <c r="A23" s="2">
        <v>45404</v>
      </c>
      <c r="B23">
        <v>130116.4877166419</v>
      </c>
      <c r="C23">
        <v>48</v>
      </c>
      <c r="D23">
        <v>50</v>
      </c>
      <c r="E23">
        <v>50</v>
      </c>
      <c r="F23">
        <v>96</v>
      </c>
      <c r="G23">
        <v>100000</v>
      </c>
      <c r="H23">
        <v>153335.3742636866</v>
      </c>
      <c r="I23" s="3">
        <f>IF(D23=0, 0, C23/D23)</f>
        <v>0</v>
      </c>
      <c r="J23" s="3">
        <f>IF(G23=0, 0, (H23-G23)/G23)</f>
        <v>0</v>
      </c>
      <c r="K23" s="4">
        <f>E23+F23</f>
        <v>0</v>
      </c>
    </row>
    <row r="24" spans="1:11">
      <c r="A24" s="2">
        <v>45405</v>
      </c>
      <c r="B24">
        <v>162240.7614919289</v>
      </c>
      <c r="C24">
        <v>44</v>
      </c>
      <c r="D24">
        <v>50</v>
      </c>
      <c r="E24">
        <v>50</v>
      </c>
      <c r="F24">
        <v>99</v>
      </c>
      <c r="G24">
        <v>100000</v>
      </c>
      <c r="H24">
        <v>149162.8581940508</v>
      </c>
      <c r="I24" s="3">
        <f>IF(D24=0, 0, C24/D24)</f>
        <v>0</v>
      </c>
      <c r="J24" s="3">
        <f>IF(G24=0, 0, (H24-G24)/G24)</f>
        <v>0</v>
      </c>
      <c r="K24" s="4">
        <f>E24+F24</f>
        <v>0</v>
      </c>
    </row>
    <row r="25" spans="1:11">
      <c r="A25" s="2">
        <v>45406</v>
      </c>
      <c r="B25">
        <v>190678.8358967547</v>
      </c>
      <c r="C25">
        <v>49</v>
      </c>
      <c r="D25">
        <v>50</v>
      </c>
      <c r="E25">
        <v>50</v>
      </c>
      <c r="F25">
        <v>107</v>
      </c>
      <c r="G25">
        <v>100000</v>
      </c>
      <c r="H25">
        <v>123058.1078543188</v>
      </c>
      <c r="I25" s="3">
        <f>IF(D25=0, 0, C25/D25)</f>
        <v>0</v>
      </c>
      <c r="J25" s="3">
        <f>IF(G25=0, 0, (H25-G25)/G25)</f>
        <v>0</v>
      </c>
      <c r="K25" s="4">
        <f>E25+F25</f>
        <v>0</v>
      </c>
    </row>
    <row r="26" spans="1:11">
      <c r="A26" s="2">
        <v>45407</v>
      </c>
      <c r="B26">
        <v>149469.3011621555</v>
      </c>
      <c r="C26">
        <v>45</v>
      </c>
      <c r="D26">
        <v>50</v>
      </c>
      <c r="E26">
        <v>50</v>
      </c>
      <c r="F26">
        <v>109</v>
      </c>
      <c r="G26">
        <v>100000</v>
      </c>
      <c r="H26">
        <v>131457.5674441383</v>
      </c>
      <c r="I26" s="3">
        <f>IF(D26=0, 0, C26/D26)</f>
        <v>0</v>
      </c>
      <c r="J26" s="3">
        <f>IF(G26=0, 0, (H26-G26)/G26)</f>
        <v>0</v>
      </c>
      <c r="K26" s="4">
        <f>E26+F26</f>
        <v>0</v>
      </c>
    </row>
    <row r="27" spans="1:11">
      <c r="A27" s="2">
        <v>45408</v>
      </c>
      <c r="B27">
        <v>134050.0745410774</v>
      </c>
      <c r="C27">
        <v>48</v>
      </c>
      <c r="D27">
        <v>50</v>
      </c>
      <c r="E27">
        <v>50</v>
      </c>
      <c r="F27">
        <v>94</v>
      </c>
      <c r="G27">
        <v>100000</v>
      </c>
      <c r="H27">
        <v>133714.1014258281</v>
      </c>
      <c r="I27" s="3">
        <f>IF(D27=0, 0, C27/D27)</f>
        <v>0</v>
      </c>
      <c r="J27" s="3">
        <f>IF(G27=0, 0, (H27-G27)/G27)</f>
        <v>0</v>
      </c>
      <c r="K27" s="4">
        <f>E27+F27</f>
        <v>0</v>
      </c>
    </row>
    <row r="28" spans="1:11">
      <c r="A28" s="2">
        <v>45409</v>
      </c>
      <c r="B28">
        <v>169142.8994998968</v>
      </c>
      <c r="C28">
        <v>51</v>
      </c>
      <c r="D28">
        <v>50</v>
      </c>
      <c r="E28">
        <v>50</v>
      </c>
      <c r="F28">
        <v>98</v>
      </c>
      <c r="G28">
        <v>100000</v>
      </c>
      <c r="H28">
        <v>167415.2076852944</v>
      </c>
      <c r="I28" s="3">
        <f>IF(D28=0, 0, C28/D28)</f>
        <v>0</v>
      </c>
      <c r="J28" s="3">
        <f>IF(G28=0, 0, (H28-G28)/G28)</f>
        <v>0</v>
      </c>
      <c r="K28" s="4">
        <f>E28+F28</f>
        <v>0</v>
      </c>
    </row>
    <row r="29" spans="1:11">
      <c r="A29" s="2">
        <v>45410</v>
      </c>
      <c r="B29">
        <v>108527.1945340192</v>
      </c>
      <c r="C29">
        <v>46</v>
      </c>
      <c r="D29">
        <v>50</v>
      </c>
      <c r="E29">
        <v>50</v>
      </c>
      <c r="F29">
        <v>100</v>
      </c>
      <c r="G29">
        <v>100000</v>
      </c>
      <c r="H29">
        <v>154363.1959301738</v>
      </c>
      <c r="I29" s="3">
        <f>IF(D29=0, 0, C29/D29)</f>
        <v>0</v>
      </c>
      <c r="J29" s="3">
        <f>IF(G29=0, 0, (H29-G29)/G29)</f>
        <v>0</v>
      </c>
      <c r="K29" s="4">
        <f>E29+F29</f>
        <v>0</v>
      </c>
    </row>
    <row r="30" spans="1:11">
      <c r="A30" s="2">
        <v>45411</v>
      </c>
      <c r="B30">
        <v>136794.9214546526</v>
      </c>
      <c r="C30">
        <v>48</v>
      </c>
      <c r="D30">
        <v>50</v>
      </c>
      <c r="E30">
        <v>50</v>
      </c>
      <c r="F30">
        <v>92</v>
      </c>
      <c r="G30">
        <v>100000</v>
      </c>
      <c r="H30">
        <v>131601.487843231</v>
      </c>
      <c r="I30" s="3">
        <f>IF(D30=0, 0, C30/D30)</f>
        <v>0</v>
      </c>
      <c r="J30" s="3">
        <f>IF(G30=0, 0, (H30-G30)/G30)</f>
        <v>0</v>
      </c>
      <c r="K30" s="4">
        <f>E30+F30</f>
        <v>0</v>
      </c>
    </row>
    <row r="31" spans="1:11">
      <c r="A31" s="2">
        <v>45412</v>
      </c>
      <c r="B31">
        <v>154324.1212355525</v>
      </c>
      <c r="C31">
        <v>49</v>
      </c>
      <c r="D31">
        <v>50</v>
      </c>
      <c r="E31">
        <v>50</v>
      </c>
      <c r="F31">
        <v>104</v>
      </c>
      <c r="G31">
        <v>100000</v>
      </c>
      <c r="H31">
        <v>136883.1138176506</v>
      </c>
      <c r="I31" s="3">
        <f>IF(D31=0, 0, C31/D31)</f>
        <v>0</v>
      </c>
      <c r="J31" s="3">
        <f>IF(G31=0, 0, (H31-G31)/G31)</f>
        <v>0</v>
      </c>
      <c r="K31" s="4">
        <f>E31+F31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sheetData>
    <row r="1" spans="1:8">
      <c r="A1" t="s">
        <v>0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s="1" t="s">
        <v>131</v>
      </c>
    </row>
    <row r="2" spans="1:8">
      <c r="A2" s="2">
        <v>45383</v>
      </c>
      <c r="B2">
        <v>36</v>
      </c>
      <c r="C2">
        <v>50</v>
      </c>
      <c r="D2">
        <v>358319.1531611675</v>
      </c>
      <c r="E2">
        <v>3798.355595528516</v>
      </c>
      <c r="F2">
        <v>51</v>
      </c>
      <c r="G2">
        <v>59</v>
      </c>
      <c r="H2" s="3">
        <f>IF(C2=0, 0, B2/C2)</f>
        <v>0</v>
      </c>
    </row>
    <row r="3" spans="1:8">
      <c r="A3" s="2">
        <v>45384</v>
      </c>
      <c r="B3">
        <v>37</v>
      </c>
      <c r="C3">
        <v>50</v>
      </c>
      <c r="D3">
        <v>451941.1249496234</v>
      </c>
      <c r="E3">
        <v>3989.543602721239</v>
      </c>
      <c r="F3">
        <v>43</v>
      </c>
      <c r="G3">
        <v>60</v>
      </c>
      <c r="H3" s="3">
        <f>IF(C3=0, 0, B3/C3)</f>
        <v>0</v>
      </c>
    </row>
    <row r="4" spans="1:8">
      <c r="A4" s="2">
        <v>45385</v>
      </c>
      <c r="B4">
        <v>47</v>
      </c>
      <c r="C4">
        <v>50</v>
      </c>
      <c r="D4">
        <v>352555.0839696701</v>
      </c>
      <c r="E4">
        <v>4423.715845110752</v>
      </c>
      <c r="F4">
        <v>40</v>
      </c>
      <c r="G4">
        <v>72</v>
      </c>
      <c r="H4" s="3">
        <f>IF(C4=0, 0, B4/C4)</f>
        <v>0</v>
      </c>
    </row>
    <row r="5" spans="1:8">
      <c r="A5" s="2">
        <v>45386</v>
      </c>
      <c r="B5">
        <v>42</v>
      </c>
      <c r="C5">
        <v>50</v>
      </c>
      <c r="D5">
        <v>417908.6381177033</v>
      </c>
      <c r="E5">
        <v>4001.733860297565</v>
      </c>
      <c r="F5">
        <v>34</v>
      </c>
      <c r="G5">
        <v>85</v>
      </c>
      <c r="H5" s="3">
        <f>IF(C5=0, 0, B5/C5)</f>
        <v>0</v>
      </c>
    </row>
    <row r="6" spans="1:8">
      <c r="A6" s="2">
        <v>45387</v>
      </c>
      <c r="B6">
        <v>49</v>
      </c>
      <c r="C6">
        <v>50</v>
      </c>
      <c r="D6">
        <v>466925.8731198857</v>
      </c>
      <c r="E6">
        <v>4894.57072860644</v>
      </c>
      <c r="F6">
        <v>44</v>
      </c>
      <c r="G6">
        <v>51</v>
      </c>
      <c r="H6" s="3">
        <f>IF(C6=0, 0, B6/C6)</f>
        <v>0</v>
      </c>
    </row>
    <row r="7" spans="1:8">
      <c r="A7" s="2">
        <v>45388</v>
      </c>
      <c r="B7">
        <v>42</v>
      </c>
      <c r="C7">
        <v>50</v>
      </c>
      <c r="D7">
        <v>412272.5868462806</v>
      </c>
      <c r="E7">
        <v>4050.35031680021</v>
      </c>
      <c r="F7">
        <v>46</v>
      </c>
      <c r="G7">
        <v>63</v>
      </c>
      <c r="H7" s="3">
        <f>IF(C7=0, 0, B7/C7)</f>
        <v>0</v>
      </c>
    </row>
    <row r="8" spans="1:8">
      <c r="A8" s="2">
        <v>45389</v>
      </c>
      <c r="B8">
        <v>48</v>
      </c>
      <c r="C8">
        <v>50</v>
      </c>
      <c r="D8">
        <v>378209.2129367004</v>
      </c>
      <c r="E8">
        <v>4627.626485541565</v>
      </c>
      <c r="F8">
        <v>47</v>
      </c>
      <c r="G8">
        <v>68</v>
      </c>
      <c r="H8" s="3">
        <f>IF(C8=0, 0, B8/C8)</f>
        <v>0</v>
      </c>
    </row>
    <row r="9" spans="1:8">
      <c r="A9" s="2">
        <v>45390</v>
      </c>
      <c r="B9">
        <v>47</v>
      </c>
      <c r="C9">
        <v>50</v>
      </c>
      <c r="D9">
        <v>392715.7176744071</v>
      </c>
      <c r="E9">
        <v>4270.100634586407</v>
      </c>
      <c r="F9">
        <v>47</v>
      </c>
      <c r="G9">
        <v>57</v>
      </c>
      <c r="H9" s="3">
        <f>IF(C9=0, 0, B9/C9)</f>
        <v>0</v>
      </c>
    </row>
    <row r="10" spans="1:8">
      <c r="A10" s="2">
        <v>45391</v>
      </c>
      <c r="B10">
        <v>49</v>
      </c>
      <c r="C10">
        <v>50</v>
      </c>
      <c r="D10">
        <v>507941.7006006223</v>
      </c>
      <c r="E10">
        <v>3983.515183288589</v>
      </c>
      <c r="F10">
        <v>38</v>
      </c>
      <c r="G10">
        <v>70</v>
      </c>
      <c r="H10" s="3">
        <f>IF(C10=0, 0, B10/C10)</f>
        <v>0</v>
      </c>
    </row>
    <row r="11" spans="1:8">
      <c r="A11" s="2">
        <v>45392</v>
      </c>
      <c r="B11">
        <v>46</v>
      </c>
      <c r="C11">
        <v>50</v>
      </c>
      <c r="D11">
        <v>419349.0380812833</v>
      </c>
      <c r="E11">
        <v>4311.630513069645</v>
      </c>
      <c r="F11">
        <v>40</v>
      </c>
      <c r="G11">
        <v>79</v>
      </c>
      <c r="H11" s="3">
        <f>IF(C11=0, 0, B11/C11)</f>
        <v>0</v>
      </c>
    </row>
    <row r="12" spans="1:8">
      <c r="A12" s="2">
        <v>45393</v>
      </c>
      <c r="B12">
        <v>44</v>
      </c>
      <c r="C12">
        <v>50</v>
      </c>
      <c r="D12">
        <v>330805.5182556851</v>
      </c>
      <c r="E12">
        <v>3856.735875164137</v>
      </c>
      <c r="F12">
        <v>32</v>
      </c>
      <c r="G12">
        <v>45</v>
      </c>
      <c r="H12" s="3">
        <f>IF(C12=0, 0, B12/C12)</f>
        <v>0</v>
      </c>
    </row>
    <row r="13" spans="1:8">
      <c r="A13" s="2">
        <v>45394</v>
      </c>
      <c r="B13">
        <v>48</v>
      </c>
      <c r="C13">
        <v>50</v>
      </c>
      <c r="D13">
        <v>382836.9140407501</v>
      </c>
      <c r="E13">
        <v>3475.214363215143</v>
      </c>
      <c r="F13">
        <v>50</v>
      </c>
      <c r="G13">
        <v>60</v>
      </c>
      <c r="H13" s="3">
        <f>IF(C13=0, 0, B13/C13)</f>
        <v>0</v>
      </c>
    </row>
    <row r="14" spans="1:8">
      <c r="A14" s="2">
        <v>45395</v>
      </c>
      <c r="B14">
        <v>47</v>
      </c>
      <c r="C14">
        <v>50</v>
      </c>
      <c r="D14">
        <v>480970.4443176017</v>
      </c>
      <c r="E14">
        <v>3918.170762150903</v>
      </c>
      <c r="F14">
        <v>42</v>
      </c>
      <c r="G14">
        <v>58</v>
      </c>
      <c r="H14" s="3">
        <f>IF(C14=0, 0, B14/C14)</f>
        <v>0</v>
      </c>
    </row>
    <row r="15" spans="1:8">
      <c r="A15" s="2">
        <v>45396</v>
      </c>
      <c r="B15">
        <v>36</v>
      </c>
      <c r="C15">
        <v>50</v>
      </c>
      <c r="D15">
        <v>412528.5124244988</v>
      </c>
      <c r="E15">
        <v>3951.17916417273</v>
      </c>
      <c r="F15">
        <v>39</v>
      </c>
      <c r="G15">
        <v>61</v>
      </c>
      <c r="H15" s="3">
        <f>IF(C15=0, 0, B15/C15)</f>
        <v>0</v>
      </c>
    </row>
    <row r="16" spans="1:8">
      <c r="A16" s="2">
        <v>45397</v>
      </c>
      <c r="B16">
        <v>44</v>
      </c>
      <c r="C16">
        <v>50</v>
      </c>
      <c r="D16">
        <v>431927.9672423804</v>
      </c>
      <c r="E16">
        <v>5335.338156174624</v>
      </c>
      <c r="F16">
        <v>49</v>
      </c>
      <c r="G16">
        <v>44</v>
      </c>
      <c r="H16" s="3">
        <f>IF(C16=0, 0, B16/C16)</f>
        <v>0</v>
      </c>
    </row>
    <row r="17" spans="1:8">
      <c r="A17" s="2">
        <v>45398</v>
      </c>
      <c r="B17">
        <v>48</v>
      </c>
      <c r="C17">
        <v>50</v>
      </c>
      <c r="D17">
        <v>415706.8176567859</v>
      </c>
      <c r="E17">
        <v>3996.19609195887</v>
      </c>
      <c r="F17">
        <v>47</v>
      </c>
      <c r="G17">
        <v>74</v>
      </c>
      <c r="H17" s="3">
        <f>IF(C17=0, 0, B17/C17)</f>
        <v>0</v>
      </c>
    </row>
    <row r="18" spans="1:8">
      <c r="A18" s="2">
        <v>45399</v>
      </c>
      <c r="B18">
        <v>57</v>
      </c>
      <c r="C18">
        <v>50</v>
      </c>
      <c r="D18">
        <v>299433.4337620742</v>
      </c>
      <c r="E18">
        <v>4090.401835893488</v>
      </c>
      <c r="F18">
        <v>42</v>
      </c>
      <c r="G18">
        <v>66</v>
      </c>
      <c r="H18" s="3">
        <f>IF(C18=0, 0, B18/C18)</f>
        <v>0</v>
      </c>
    </row>
    <row r="19" spans="1:8">
      <c r="A19" s="2">
        <v>45400</v>
      </c>
      <c r="B19">
        <v>48</v>
      </c>
      <c r="C19">
        <v>50</v>
      </c>
      <c r="D19">
        <v>377824.7411786407</v>
      </c>
      <c r="E19">
        <v>4510.793980329403</v>
      </c>
      <c r="F19">
        <v>44</v>
      </c>
      <c r="G19">
        <v>80</v>
      </c>
      <c r="H19" s="3">
        <f>IF(C19=0, 0, B19/C19)</f>
        <v>0</v>
      </c>
    </row>
    <row r="20" spans="1:8">
      <c r="A20" s="2">
        <v>45401</v>
      </c>
      <c r="B20">
        <v>42</v>
      </c>
      <c r="C20">
        <v>50</v>
      </c>
      <c r="D20">
        <v>356996.4377379033</v>
      </c>
      <c r="E20">
        <v>3489.137637232147</v>
      </c>
      <c r="F20">
        <v>37</v>
      </c>
      <c r="G20">
        <v>51</v>
      </c>
      <c r="H20" s="3">
        <f>IF(C20=0, 0, B20/C20)</f>
        <v>0</v>
      </c>
    </row>
    <row r="21" spans="1:8">
      <c r="A21" s="2">
        <v>45402</v>
      </c>
      <c r="B21">
        <v>44</v>
      </c>
      <c r="C21">
        <v>50</v>
      </c>
      <c r="D21">
        <v>353774.6914857876</v>
      </c>
      <c r="E21">
        <v>3915.186477272293</v>
      </c>
      <c r="F21">
        <v>45</v>
      </c>
      <c r="G21">
        <v>67</v>
      </c>
      <c r="H21" s="3">
        <f>IF(C21=0, 0, B21/C21)</f>
        <v>0</v>
      </c>
    </row>
    <row r="22" spans="1:8">
      <c r="A22" s="2">
        <v>45403</v>
      </c>
      <c r="B22">
        <v>42</v>
      </c>
      <c r="C22">
        <v>50</v>
      </c>
      <c r="D22">
        <v>440065.3762815904</v>
      </c>
      <c r="E22">
        <v>3223.066548291979</v>
      </c>
      <c r="F22">
        <v>47</v>
      </c>
      <c r="G22">
        <v>47</v>
      </c>
      <c r="H22" s="3">
        <f>IF(C22=0, 0, B22/C22)</f>
        <v>0</v>
      </c>
    </row>
    <row r="23" spans="1:8">
      <c r="A23" s="2">
        <v>45404</v>
      </c>
      <c r="B23">
        <v>40</v>
      </c>
      <c r="C23">
        <v>50</v>
      </c>
      <c r="D23">
        <v>364692.2418339433</v>
      </c>
      <c r="E23">
        <v>3930.922646753571</v>
      </c>
      <c r="F23">
        <v>45</v>
      </c>
      <c r="G23">
        <v>56</v>
      </c>
      <c r="H23" s="3">
        <f>IF(C23=0, 0, B23/C23)</f>
        <v>0</v>
      </c>
    </row>
    <row r="24" spans="1:8">
      <c r="A24" s="2">
        <v>45405</v>
      </c>
      <c r="B24">
        <v>38</v>
      </c>
      <c r="C24">
        <v>50</v>
      </c>
      <c r="D24">
        <v>461158.199225402</v>
      </c>
      <c r="E24">
        <v>4414.901944387911</v>
      </c>
      <c r="F24">
        <v>40</v>
      </c>
      <c r="G24">
        <v>49</v>
      </c>
      <c r="H24" s="3">
        <f>IF(C24=0, 0, B24/C24)</f>
        <v>0</v>
      </c>
    </row>
    <row r="25" spans="1:8">
      <c r="A25" s="2">
        <v>45406</v>
      </c>
      <c r="B25">
        <v>38</v>
      </c>
      <c r="C25">
        <v>50</v>
      </c>
      <c r="D25">
        <v>420664.177834098</v>
      </c>
      <c r="E25">
        <v>4050.597559217126</v>
      </c>
      <c r="F25">
        <v>45</v>
      </c>
      <c r="G25">
        <v>61</v>
      </c>
      <c r="H25" s="3">
        <f>IF(C25=0, 0, B25/C25)</f>
        <v>0</v>
      </c>
    </row>
    <row r="26" spans="1:8">
      <c r="A26" s="2">
        <v>45407</v>
      </c>
      <c r="B26">
        <v>56</v>
      </c>
      <c r="C26">
        <v>50</v>
      </c>
      <c r="D26">
        <v>419086.5505132863</v>
      </c>
      <c r="E26">
        <v>3241.726568403089</v>
      </c>
      <c r="F26">
        <v>42</v>
      </c>
      <c r="G26">
        <v>46</v>
      </c>
      <c r="H26" s="3">
        <f>IF(C26=0, 0, B26/C26)</f>
        <v>0</v>
      </c>
    </row>
    <row r="27" spans="1:8">
      <c r="A27" s="2">
        <v>45408</v>
      </c>
      <c r="B27">
        <v>50</v>
      </c>
      <c r="C27">
        <v>50</v>
      </c>
      <c r="D27">
        <v>391773.7486854541</v>
      </c>
      <c r="E27">
        <v>4374.059641176342</v>
      </c>
      <c r="F27">
        <v>40</v>
      </c>
      <c r="G27">
        <v>44</v>
      </c>
      <c r="H27" s="3">
        <f>IF(C27=0, 0, B27/C27)</f>
        <v>0</v>
      </c>
    </row>
    <row r="28" spans="1:8">
      <c r="A28" s="2">
        <v>45409</v>
      </c>
      <c r="B28">
        <v>53</v>
      </c>
      <c r="C28">
        <v>50</v>
      </c>
      <c r="D28">
        <v>384505.6796605996</v>
      </c>
      <c r="E28">
        <v>3691.732422489635</v>
      </c>
      <c r="F28">
        <v>44</v>
      </c>
      <c r="G28">
        <v>68</v>
      </c>
      <c r="H28" s="3">
        <f>IF(C28=0, 0, B28/C28)</f>
        <v>0</v>
      </c>
    </row>
    <row r="29" spans="1:8">
      <c r="A29" s="2">
        <v>45410</v>
      </c>
      <c r="B29">
        <v>39</v>
      </c>
      <c r="C29">
        <v>50</v>
      </c>
      <c r="D29">
        <v>402996.8904349711</v>
      </c>
      <c r="E29">
        <v>4629.026462030094</v>
      </c>
      <c r="F29">
        <v>49</v>
      </c>
      <c r="G29">
        <v>49</v>
      </c>
      <c r="H29" s="3">
        <f>IF(C29=0, 0, B29/C29)</f>
        <v>0</v>
      </c>
    </row>
    <row r="30" spans="1:8">
      <c r="A30" s="2">
        <v>45411</v>
      </c>
      <c r="B30">
        <v>46</v>
      </c>
      <c r="C30">
        <v>50</v>
      </c>
      <c r="D30">
        <v>368000.4332488994</v>
      </c>
      <c r="E30">
        <v>4852.064988987911</v>
      </c>
      <c r="F30">
        <v>53</v>
      </c>
      <c r="G30">
        <v>53</v>
      </c>
      <c r="H30" s="3">
        <f>IF(C30=0, 0, B30/C30)</f>
        <v>0</v>
      </c>
    </row>
    <row r="31" spans="1:8">
      <c r="A31" s="2">
        <v>45412</v>
      </c>
      <c r="B31">
        <v>50</v>
      </c>
      <c r="C31">
        <v>50</v>
      </c>
      <c r="D31">
        <v>339617.3875609907</v>
      </c>
      <c r="E31">
        <v>3365.032848716099</v>
      </c>
      <c r="F31">
        <v>42</v>
      </c>
      <c r="G31">
        <v>62</v>
      </c>
      <c r="H31" s="3">
        <f>IF(C31=0, 0, B31/C31)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sheetData>
    <row r="1" spans="1:8">
      <c r="A1" t="s">
        <v>0</v>
      </c>
      <c r="B1" t="s">
        <v>5</v>
      </c>
      <c r="C1" t="s">
        <v>6</v>
      </c>
      <c r="D1" t="s">
        <v>16</v>
      </c>
      <c r="E1" t="s">
        <v>17</v>
      </c>
      <c r="F1" t="s">
        <v>20</v>
      </c>
      <c r="G1" t="s">
        <v>15</v>
      </c>
      <c r="H1" s="1" t="s">
        <v>132</v>
      </c>
    </row>
    <row r="2" spans="1:8">
      <c r="A2" s="2">
        <v>45383</v>
      </c>
      <c r="B2">
        <v>43</v>
      </c>
      <c r="C2">
        <v>50</v>
      </c>
      <c r="D2">
        <v>45</v>
      </c>
      <c r="E2">
        <v>50</v>
      </c>
      <c r="F2">
        <v>1</v>
      </c>
      <c r="G2">
        <v>50</v>
      </c>
      <c r="H2" s="3">
        <f>IF(OR(C2=0,E2=0,G2=0),0,((B2/C2)*0.4+(D2/E2)*0.3+(1-F2/G2)*0.2)/0.9)</f>
        <v>0</v>
      </c>
    </row>
    <row r="3" spans="1:8">
      <c r="A3" s="2">
        <v>45384</v>
      </c>
      <c r="B3">
        <v>45</v>
      </c>
      <c r="C3">
        <v>50</v>
      </c>
      <c r="D3">
        <v>44</v>
      </c>
      <c r="E3">
        <v>50</v>
      </c>
      <c r="F3">
        <v>0</v>
      </c>
      <c r="G3">
        <v>50</v>
      </c>
      <c r="H3" s="3">
        <f>IF(OR(C3=0,E3=0,G3=0),0,((B3/C3)*0.4+(D3/E3)*0.3+(1-F3/G3)*0.2)/0.9)</f>
        <v>0</v>
      </c>
    </row>
    <row r="4" spans="1:8">
      <c r="A4" s="2">
        <v>45385</v>
      </c>
      <c r="B4">
        <v>51</v>
      </c>
      <c r="C4">
        <v>50</v>
      </c>
      <c r="D4">
        <v>38</v>
      </c>
      <c r="E4">
        <v>50</v>
      </c>
      <c r="F4">
        <v>1</v>
      </c>
      <c r="G4">
        <v>50</v>
      </c>
      <c r="H4" s="3">
        <f>IF(OR(C4=0,E4=0,G4=0),0,((B4/C4)*0.4+(D4/E4)*0.3+(1-F4/G4)*0.2)/0.9)</f>
        <v>0</v>
      </c>
    </row>
    <row r="5" spans="1:8">
      <c r="A5" s="2">
        <v>45386</v>
      </c>
      <c r="B5">
        <v>46</v>
      </c>
      <c r="C5">
        <v>50</v>
      </c>
      <c r="D5">
        <v>49</v>
      </c>
      <c r="E5">
        <v>50</v>
      </c>
      <c r="F5">
        <v>4</v>
      </c>
      <c r="G5">
        <v>50</v>
      </c>
      <c r="H5" s="3">
        <f>IF(OR(C5=0,E5=0,G5=0),0,((B5/C5)*0.4+(D5/E5)*0.3+(1-F5/G5)*0.2)/0.9)</f>
        <v>0</v>
      </c>
    </row>
    <row r="6" spans="1:8">
      <c r="A6" s="2">
        <v>45387</v>
      </c>
      <c r="B6">
        <v>47</v>
      </c>
      <c r="C6">
        <v>50</v>
      </c>
      <c r="D6">
        <v>43</v>
      </c>
      <c r="E6">
        <v>50</v>
      </c>
      <c r="F6">
        <v>1</v>
      </c>
      <c r="G6">
        <v>50</v>
      </c>
      <c r="H6" s="3">
        <f>IF(OR(C6=0,E6=0,G6=0),0,((B6/C6)*0.4+(D6/E6)*0.3+(1-F6/G6)*0.2)/0.9)</f>
        <v>0</v>
      </c>
    </row>
    <row r="7" spans="1:8">
      <c r="A7" s="2">
        <v>45388</v>
      </c>
      <c r="B7">
        <v>51</v>
      </c>
      <c r="C7">
        <v>50</v>
      </c>
      <c r="D7">
        <v>43</v>
      </c>
      <c r="E7">
        <v>50</v>
      </c>
      <c r="F7">
        <v>1</v>
      </c>
      <c r="G7">
        <v>50</v>
      </c>
      <c r="H7" s="3">
        <f>IF(OR(C7=0,E7=0,G7=0),0,((B7/C7)*0.4+(D7/E7)*0.3+(1-F7/G7)*0.2)/0.9)</f>
        <v>0</v>
      </c>
    </row>
    <row r="8" spans="1:8">
      <c r="A8" s="2">
        <v>45389</v>
      </c>
      <c r="B8">
        <v>45</v>
      </c>
      <c r="C8">
        <v>50</v>
      </c>
      <c r="D8">
        <v>48</v>
      </c>
      <c r="E8">
        <v>50</v>
      </c>
      <c r="F8">
        <v>1</v>
      </c>
      <c r="G8">
        <v>50</v>
      </c>
      <c r="H8" s="3">
        <f>IF(OR(C8=0,E8=0,G8=0),0,((B8/C8)*0.4+(D8/E8)*0.3+(1-F8/G8)*0.2)/0.9)</f>
        <v>0</v>
      </c>
    </row>
    <row r="9" spans="1:8">
      <c r="A9" s="2">
        <v>45390</v>
      </c>
      <c r="B9">
        <v>46</v>
      </c>
      <c r="C9">
        <v>50</v>
      </c>
      <c r="D9">
        <v>39</v>
      </c>
      <c r="E9">
        <v>50</v>
      </c>
      <c r="F9">
        <v>0</v>
      </c>
      <c r="G9">
        <v>50</v>
      </c>
      <c r="H9" s="3">
        <f>IF(OR(C9=0,E9=0,G9=0),0,((B9/C9)*0.4+(D9/E9)*0.3+(1-F9/G9)*0.2)/0.9)</f>
        <v>0</v>
      </c>
    </row>
    <row r="10" spans="1:8">
      <c r="A10" s="2">
        <v>45391</v>
      </c>
      <c r="B10">
        <v>49</v>
      </c>
      <c r="C10">
        <v>50</v>
      </c>
      <c r="D10">
        <v>46</v>
      </c>
      <c r="E10">
        <v>50</v>
      </c>
      <c r="F10">
        <v>2</v>
      </c>
      <c r="G10">
        <v>50</v>
      </c>
      <c r="H10" s="3">
        <f>IF(OR(C10=0,E10=0,G10=0),0,((B10/C10)*0.4+(D10/E10)*0.3+(1-F10/G10)*0.2)/0.9)</f>
        <v>0</v>
      </c>
    </row>
    <row r="11" spans="1:8">
      <c r="A11" s="2">
        <v>45392</v>
      </c>
      <c r="B11">
        <v>39</v>
      </c>
      <c r="C11">
        <v>50</v>
      </c>
      <c r="D11">
        <v>47</v>
      </c>
      <c r="E11">
        <v>50</v>
      </c>
      <c r="F11">
        <v>0</v>
      </c>
      <c r="G11">
        <v>50</v>
      </c>
      <c r="H11" s="3">
        <f>IF(OR(C11=0,E11=0,G11=0),0,((B11/C11)*0.4+(D11/E11)*0.3+(1-F11/G11)*0.2)/0.9)</f>
        <v>0</v>
      </c>
    </row>
    <row r="12" spans="1:8">
      <c r="A12" s="2">
        <v>45393</v>
      </c>
      <c r="B12">
        <v>49</v>
      </c>
      <c r="C12">
        <v>50</v>
      </c>
      <c r="D12">
        <v>51</v>
      </c>
      <c r="E12">
        <v>50</v>
      </c>
      <c r="F12">
        <v>1</v>
      </c>
      <c r="G12">
        <v>50</v>
      </c>
      <c r="H12" s="3">
        <f>IF(OR(C12=0,E12=0,G12=0),0,((B12/C12)*0.4+(D12/E12)*0.3+(1-F12/G12)*0.2)/0.9)</f>
        <v>0</v>
      </c>
    </row>
    <row r="13" spans="1:8">
      <c r="A13" s="2">
        <v>45394</v>
      </c>
      <c r="B13">
        <v>40</v>
      </c>
      <c r="C13">
        <v>50</v>
      </c>
      <c r="D13">
        <v>45</v>
      </c>
      <c r="E13">
        <v>50</v>
      </c>
      <c r="F13">
        <v>0</v>
      </c>
      <c r="G13">
        <v>50</v>
      </c>
      <c r="H13" s="3">
        <f>IF(OR(C13=0,E13=0,G13=0),0,((B13/C13)*0.4+(D13/E13)*0.3+(1-F13/G13)*0.2)/0.9)</f>
        <v>0</v>
      </c>
    </row>
    <row r="14" spans="1:8">
      <c r="A14" s="2">
        <v>45395</v>
      </c>
      <c r="B14">
        <v>42</v>
      </c>
      <c r="C14">
        <v>50</v>
      </c>
      <c r="D14">
        <v>45</v>
      </c>
      <c r="E14">
        <v>50</v>
      </c>
      <c r="F14">
        <v>1</v>
      </c>
      <c r="G14">
        <v>50</v>
      </c>
      <c r="H14" s="3">
        <f>IF(OR(C14=0,E14=0,G14=0),0,((B14/C14)*0.4+(D14/E14)*0.3+(1-F14/G14)*0.2)/0.9)</f>
        <v>0</v>
      </c>
    </row>
    <row r="15" spans="1:8">
      <c r="A15" s="2">
        <v>45396</v>
      </c>
      <c r="B15">
        <v>51</v>
      </c>
      <c r="C15">
        <v>50</v>
      </c>
      <c r="D15">
        <v>43</v>
      </c>
      <c r="E15">
        <v>50</v>
      </c>
      <c r="F15">
        <v>1</v>
      </c>
      <c r="G15">
        <v>50</v>
      </c>
      <c r="H15" s="3">
        <f>IF(OR(C15=0,E15=0,G15=0),0,((B15/C15)*0.4+(D15/E15)*0.3+(1-F15/G15)*0.2)/0.9)</f>
        <v>0</v>
      </c>
    </row>
    <row r="16" spans="1:8">
      <c r="A16" s="2">
        <v>45397</v>
      </c>
      <c r="B16">
        <v>42</v>
      </c>
      <c r="C16">
        <v>50</v>
      </c>
      <c r="D16">
        <v>51</v>
      </c>
      <c r="E16">
        <v>50</v>
      </c>
      <c r="F16">
        <v>1</v>
      </c>
      <c r="G16">
        <v>50</v>
      </c>
      <c r="H16" s="3">
        <f>IF(OR(C16=0,E16=0,G16=0),0,((B16/C16)*0.4+(D16/E16)*0.3+(1-F16/G16)*0.2)/0.9)</f>
        <v>0</v>
      </c>
    </row>
    <row r="17" spans="1:8">
      <c r="A17" s="2">
        <v>45398</v>
      </c>
      <c r="B17">
        <v>45</v>
      </c>
      <c r="C17">
        <v>50</v>
      </c>
      <c r="D17">
        <v>44</v>
      </c>
      <c r="E17">
        <v>50</v>
      </c>
      <c r="F17">
        <v>1</v>
      </c>
      <c r="G17">
        <v>50</v>
      </c>
      <c r="H17" s="3">
        <f>IF(OR(C17=0,E17=0,G17=0),0,((B17/C17)*0.4+(D17/E17)*0.3+(1-F17/G17)*0.2)/0.9)</f>
        <v>0</v>
      </c>
    </row>
    <row r="18" spans="1:8">
      <c r="A18" s="2">
        <v>45399</v>
      </c>
      <c r="B18">
        <v>49</v>
      </c>
      <c r="C18">
        <v>50</v>
      </c>
      <c r="D18">
        <v>41</v>
      </c>
      <c r="E18">
        <v>50</v>
      </c>
      <c r="F18">
        <v>1</v>
      </c>
      <c r="G18">
        <v>50</v>
      </c>
      <c r="H18" s="3">
        <f>IF(OR(C18=0,E18=0,G18=0),0,((B18/C18)*0.4+(D18/E18)*0.3+(1-F18/G18)*0.2)/0.9)</f>
        <v>0</v>
      </c>
    </row>
    <row r="19" spans="1:8">
      <c r="A19" s="2">
        <v>45400</v>
      </c>
      <c r="B19">
        <v>42</v>
      </c>
      <c r="C19">
        <v>50</v>
      </c>
      <c r="D19">
        <v>46</v>
      </c>
      <c r="E19">
        <v>50</v>
      </c>
      <c r="F19">
        <v>0</v>
      </c>
      <c r="G19">
        <v>50</v>
      </c>
      <c r="H19" s="3">
        <f>IF(OR(C19=0,E19=0,G19=0),0,((B19/C19)*0.4+(D19/E19)*0.3+(1-F19/G19)*0.2)/0.9)</f>
        <v>0</v>
      </c>
    </row>
    <row r="20" spans="1:8">
      <c r="A20" s="2">
        <v>45401</v>
      </c>
      <c r="B20">
        <v>52</v>
      </c>
      <c r="C20">
        <v>50</v>
      </c>
      <c r="D20">
        <v>44</v>
      </c>
      <c r="E20">
        <v>50</v>
      </c>
      <c r="F20">
        <v>2</v>
      </c>
      <c r="G20">
        <v>50</v>
      </c>
      <c r="H20" s="3">
        <f>IF(OR(C20=0,E20=0,G20=0),0,((B20/C20)*0.4+(D20/E20)*0.3+(1-F20/G20)*0.2)/0.9)</f>
        <v>0</v>
      </c>
    </row>
    <row r="21" spans="1:8">
      <c r="A21" s="2">
        <v>45402</v>
      </c>
      <c r="B21">
        <v>43</v>
      </c>
      <c r="C21">
        <v>50</v>
      </c>
      <c r="D21">
        <v>42</v>
      </c>
      <c r="E21">
        <v>50</v>
      </c>
      <c r="F21">
        <v>2</v>
      </c>
      <c r="G21">
        <v>50</v>
      </c>
      <c r="H21" s="3">
        <f>IF(OR(C21=0,E21=0,G21=0),0,((B21/C21)*0.4+(D21/E21)*0.3+(1-F21/G21)*0.2)/0.9)</f>
        <v>0</v>
      </c>
    </row>
    <row r="22" spans="1:8">
      <c r="A22" s="2">
        <v>45403</v>
      </c>
      <c r="B22">
        <v>35</v>
      </c>
      <c r="C22">
        <v>50</v>
      </c>
      <c r="D22">
        <v>46</v>
      </c>
      <c r="E22">
        <v>50</v>
      </c>
      <c r="F22">
        <v>1</v>
      </c>
      <c r="G22">
        <v>50</v>
      </c>
      <c r="H22" s="3">
        <f>IF(OR(C22=0,E22=0,G22=0),0,((B22/C22)*0.4+(D22/E22)*0.3+(1-F22/G22)*0.2)/0.9)</f>
        <v>0</v>
      </c>
    </row>
    <row r="23" spans="1:8">
      <c r="A23" s="2">
        <v>45404</v>
      </c>
      <c r="B23">
        <v>44</v>
      </c>
      <c r="C23">
        <v>50</v>
      </c>
      <c r="D23">
        <v>42</v>
      </c>
      <c r="E23">
        <v>50</v>
      </c>
      <c r="F23">
        <v>1</v>
      </c>
      <c r="G23">
        <v>50</v>
      </c>
      <c r="H23" s="3">
        <f>IF(OR(C23=0,E23=0,G23=0),0,((B23/C23)*0.4+(D23/E23)*0.3+(1-F23/G23)*0.2)/0.9)</f>
        <v>0</v>
      </c>
    </row>
    <row r="24" spans="1:8">
      <c r="A24" s="2">
        <v>45405</v>
      </c>
      <c r="B24">
        <v>46</v>
      </c>
      <c r="C24">
        <v>50</v>
      </c>
      <c r="D24">
        <v>30</v>
      </c>
      <c r="E24">
        <v>50</v>
      </c>
      <c r="F24">
        <v>2</v>
      </c>
      <c r="G24">
        <v>50</v>
      </c>
      <c r="H24" s="3">
        <f>IF(OR(C24=0,E24=0,G24=0),0,((B24/C24)*0.4+(D24/E24)*0.3+(1-F24/G24)*0.2)/0.9)</f>
        <v>0</v>
      </c>
    </row>
    <row r="25" spans="1:8">
      <c r="A25" s="2">
        <v>45406</v>
      </c>
      <c r="B25">
        <v>41</v>
      </c>
      <c r="C25">
        <v>50</v>
      </c>
      <c r="D25">
        <v>44</v>
      </c>
      <c r="E25">
        <v>50</v>
      </c>
      <c r="F25">
        <v>1</v>
      </c>
      <c r="G25">
        <v>50</v>
      </c>
      <c r="H25" s="3">
        <f>IF(OR(C25=0,E25=0,G25=0),0,((B25/C25)*0.4+(D25/E25)*0.3+(1-F25/G25)*0.2)/0.9)</f>
        <v>0</v>
      </c>
    </row>
    <row r="26" spans="1:8">
      <c r="A26" s="2">
        <v>45407</v>
      </c>
      <c r="B26">
        <v>50</v>
      </c>
      <c r="C26">
        <v>50</v>
      </c>
      <c r="D26">
        <v>45</v>
      </c>
      <c r="E26">
        <v>50</v>
      </c>
      <c r="F26">
        <v>0</v>
      </c>
      <c r="G26">
        <v>50</v>
      </c>
      <c r="H26" s="3">
        <f>IF(OR(C26=0,E26=0,G26=0),0,((B26/C26)*0.4+(D26/E26)*0.3+(1-F26/G26)*0.2)/0.9)</f>
        <v>0</v>
      </c>
    </row>
    <row r="27" spans="1:8">
      <c r="A27" s="2">
        <v>45408</v>
      </c>
      <c r="B27">
        <v>55</v>
      </c>
      <c r="C27">
        <v>50</v>
      </c>
      <c r="D27">
        <v>42</v>
      </c>
      <c r="E27">
        <v>50</v>
      </c>
      <c r="F27">
        <v>1</v>
      </c>
      <c r="G27">
        <v>50</v>
      </c>
      <c r="H27" s="3">
        <f>IF(OR(C27=0,E27=0,G27=0),0,((B27/C27)*0.4+(D27/E27)*0.3+(1-F27/G27)*0.2)/0.9)</f>
        <v>0</v>
      </c>
    </row>
    <row r="28" spans="1:8">
      <c r="A28" s="2">
        <v>45409</v>
      </c>
      <c r="B28">
        <v>40</v>
      </c>
      <c r="C28">
        <v>50</v>
      </c>
      <c r="D28">
        <v>55</v>
      </c>
      <c r="E28">
        <v>50</v>
      </c>
      <c r="F28">
        <v>2</v>
      </c>
      <c r="G28">
        <v>50</v>
      </c>
      <c r="H28" s="3">
        <f>IF(OR(C28=0,E28=0,G28=0),0,((B28/C28)*0.4+(D28/E28)*0.3+(1-F28/G28)*0.2)/0.9)</f>
        <v>0</v>
      </c>
    </row>
    <row r="29" spans="1:8">
      <c r="A29" s="2">
        <v>45410</v>
      </c>
      <c r="B29">
        <v>53</v>
      </c>
      <c r="C29">
        <v>50</v>
      </c>
      <c r="D29">
        <v>54</v>
      </c>
      <c r="E29">
        <v>50</v>
      </c>
      <c r="F29">
        <v>2</v>
      </c>
      <c r="G29">
        <v>50</v>
      </c>
      <c r="H29" s="3">
        <f>IF(OR(C29=0,E29=0,G29=0),0,((B29/C29)*0.4+(D29/E29)*0.3+(1-F29/G29)*0.2)/0.9)</f>
        <v>0</v>
      </c>
    </row>
    <row r="30" spans="1:8">
      <c r="A30" s="2">
        <v>45411</v>
      </c>
      <c r="B30">
        <v>51</v>
      </c>
      <c r="C30">
        <v>50</v>
      </c>
      <c r="D30">
        <v>53</v>
      </c>
      <c r="E30">
        <v>50</v>
      </c>
      <c r="F30">
        <v>1</v>
      </c>
      <c r="G30">
        <v>50</v>
      </c>
      <c r="H30" s="3">
        <f>IF(OR(C30=0,E30=0,G30=0),0,((B30/C30)*0.4+(D30/E30)*0.3+(1-F30/G30)*0.2)/0.9)</f>
        <v>0</v>
      </c>
    </row>
    <row r="31" spans="1:8">
      <c r="A31" s="2">
        <v>45412</v>
      </c>
      <c r="B31">
        <v>49</v>
      </c>
      <c r="C31">
        <v>50</v>
      </c>
      <c r="D31">
        <v>45</v>
      </c>
      <c r="E31">
        <v>50</v>
      </c>
      <c r="F31">
        <v>0</v>
      </c>
      <c r="G31">
        <v>50</v>
      </c>
      <c r="H31" s="3">
        <f>IF(OR(C31=0,E31=0,G31=0),0,((B31/C31)*0.4+(D31/E31)*0.3+(1-F31/G31)*0.2)/0.9)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0</v>
      </c>
    </row>
    <row r="2" spans="1:1">
      <c r="A2" s="2">
        <v>45383</v>
      </c>
    </row>
    <row r="3" spans="1:1">
      <c r="A3" s="2">
        <v>45384</v>
      </c>
    </row>
    <row r="4" spans="1:1">
      <c r="A4" s="2">
        <v>45385</v>
      </c>
    </row>
    <row r="5" spans="1:1">
      <c r="A5" s="2">
        <v>45386</v>
      </c>
    </row>
    <row r="6" spans="1:1">
      <c r="A6" s="2">
        <v>45387</v>
      </c>
    </row>
    <row r="7" spans="1:1">
      <c r="A7" s="2">
        <v>45388</v>
      </c>
    </row>
    <row r="8" spans="1:1">
      <c r="A8" s="2">
        <v>45389</v>
      </c>
    </row>
    <row r="9" spans="1:1">
      <c r="A9" s="2">
        <v>45390</v>
      </c>
    </row>
    <row r="10" spans="1:1">
      <c r="A10" s="2">
        <v>45391</v>
      </c>
    </row>
    <row r="11" spans="1:1">
      <c r="A11" s="2">
        <v>45392</v>
      </c>
    </row>
    <row r="12" spans="1:1">
      <c r="A12" s="2">
        <v>45393</v>
      </c>
    </row>
    <row r="13" spans="1:1">
      <c r="A13" s="2">
        <v>45394</v>
      </c>
    </row>
    <row r="14" spans="1:1">
      <c r="A14" s="2">
        <v>45395</v>
      </c>
    </row>
    <row r="15" spans="1:1">
      <c r="A15" s="2">
        <v>45396</v>
      </c>
    </row>
    <row r="16" spans="1:1">
      <c r="A16" s="2">
        <v>45397</v>
      </c>
    </row>
    <row r="17" spans="1:1">
      <c r="A17" s="2">
        <v>45398</v>
      </c>
    </row>
    <row r="18" spans="1:1">
      <c r="A18" s="2">
        <v>45399</v>
      </c>
    </row>
    <row r="19" spans="1:1">
      <c r="A19" s="2">
        <v>45400</v>
      </c>
    </row>
    <row r="20" spans="1:1">
      <c r="A20" s="2">
        <v>45401</v>
      </c>
    </row>
    <row r="21" spans="1:1">
      <c r="A21" s="2">
        <v>45402</v>
      </c>
    </row>
    <row r="22" spans="1:1">
      <c r="A22" s="2">
        <v>45403</v>
      </c>
    </row>
    <row r="23" spans="1:1">
      <c r="A23" s="2">
        <v>45404</v>
      </c>
    </row>
    <row r="24" spans="1:1">
      <c r="A24" s="2">
        <v>45405</v>
      </c>
    </row>
    <row r="25" spans="1:1">
      <c r="A25" s="2">
        <v>45406</v>
      </c>
    </row>
    <row r="26" spans="1:1">
      <c r="A26" s="2">
        <v>45407</v>
      </c>
    </row>
    <row r="27" spans="1:1">
      <c r="A27" s="2">
        <v>45408</v>
      </c>
    </row>
    <row r="28" spans="1:1">
      <c r="A28" s="2">
        <v>45409</v>
      </c>
    </row>
    <row r="29" spans="1:1">
      <c r="A29" s="2">
        <v>45410</v>
      </c>
    </row>
    <row r="30" spans="1:1">
      <c r="A30" s="2">
        <v>45411</v>
      </c>
    </row>
    <row r="31" spans="1:1">
      <c r="A31" s="2">
        <v>45412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RowHeight="15"/>
  <sheetData>
    <row r="1" spans="1:6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>
      <c r="A2" s="2">
        <v>45383</v>
      </c>
      <c r="B2" t="s">
        <v>39</v>
      </c>
      <c r="C2" t="s">
        <v>59</v>
      </c>
      <c r="D2" t="s">
        <v>79</v>
      </c>
      <c r="E2" t="s">
        <v>99</v>
      </c>
      <c r="F2" t="s">
        <v>104</v>
      </c>
    </row>
    <row r="3" spans="1:6">
      <c r="A3" s="2">
        <v>45384</v>
      </c>
      <c r="B3" t="s">
        <v>40</v>
      </c>
      <c r="C3" t="s">
        <v>60</v>
      </c>
      <c r="D3" t="s">
        <v>80</v>
      </c>
      <c r="E3" t="s">
        <v>100</v>
      </c>
      <c r="F3" t="s">
        <v>105</v>
      </c>
    </row>
    <row r="4" spans="1:6">
      <c r="A4" s="2">
        <v>45385</v>
      </c>
      <c r="B4" t="s">
        <v>41</v>
      </c>
      <c r="C4" t="s">
        <v>61</v>
      </c>
      <c r="D4" t="s">
        <v>81</v>
      </c>
      <c r="E4" t="s">
        <v>101</v>
      </c>
      <c r="F4" t="s">
        <v>106</v>
      </c>
    </row>
    <row r="5" spans="1:6">
      <c r="A5" s="2">
        <v>45386</v>
      </c>
      <c r="B5" t="s">
        <v>42</v>
      </c>
      <c r="C5" t="s">
        <v>62</v>
      </c>
      <c r="D5" t="s">
        <v>82</v>
      </c>
      <c r="E5" t="s">
        <v>102</v>
      </c>
      <c r="F5" t="s">
        <v>107</v>
      </c>
    </row>
    <row r="6" spans="1:6">
      <c r="A6" s="2">
        <v>45387</v>
      </c>
      <c r="B6" t="s">
        <v>43</v>
      </c>
      <c r="C6" t="s">
        <v>63</v>
      </c>
      <c r="D6" t="s">
        <v>83</v>
      </c>
      <c r="E6" t="s">
        <v>103</v>
      </c>
      <c r="F6" t="s">
        <v>108</v>
      </c>
    </row>
    <row r="7" spans="1:6">
      <c r="A7" s="2">
        <v>45388</v>
      </c>
      <c r="B7" t="s">
        <v>44</v>
      </c>
      <c r="C7" t="s">
        <v>64</v>
      </c>
      <c r="D7" t="s">
        <v>84</v>
      </c>
      <c r="E7" t="s">
        <v>99</v>
      </c>
      <c r="F7" t="s">
        <v>109</v>
      </c>
    </row>
    <row r="8" spans="1:6">
      <c r="A8" s="2">
        <v>45389</v>
      </c>
      <c r="B8" t="s">
        <v>45</v>
      </c>
      <c r="C8" t="s">
        <v>65</v>
      </c>
      <c r="D8" t="s">
        <v>85</v>
      </c>
      <c r="E8" t="s">
        <v>100</v>
      </c>
      <c r="F8" t="s">
        <v>110</v>
      </c>
    </row>
    <row r="9" spans="1:6">
      <c r="A9" s="2">
        <v>45390</v>
      </c>
      <c r="B9" t="s">
        <v>46</v>
      </c>
      <c r="C9" t="s">
        <v>66</v>
      </c>
      <c r="D9" t="s">
        <v>86</v>
      </c>
      <c r="E9" t="s">
        <v>101</v>
      </c>
      <c r="F9" t="s">
        <v>111</v>
      </c>
    </row>
    <row r="10" spans="1:6">
      <c r="A10" s="2">
        <v>45391</v>
      </c>
      <c r="B10" t="s">
        <v>47</v>
      </c>
      <c r="C10" t="s">
        <v>67</v>
      </c>
      <c r="D10" t="s">
        <v>87</v>
      </c>
      <c r="E10" t="s">
        <v>102</v>
      </c>
      <c r="F10" t="s">
        <v>112</v>
      </c>
    </row>
    <row r="11" spans="1:6">
      <c r="A11" s="2">
        <v>45392</v>
      </c>
      <c r="B11" t="s">
        <v>48</v>
      </c>
      <c r="C11" t="s">
        <v>68</v>
      </c>
      <c r="D11" t="s">
        <v>88</v>
      </c>
      <c r="E11" t="s">
        <v>103</v>
      </c>
      <c r="F11" t="s">
        <v>113</v>
      </c>
    </row>
    <row r="12" spans="1:6">
      <c r="A12" s="2">
        <v>45393</v>
      </c>
      <c r="B12" t="s">
        <v>49</v>
      </c>
      <c r="C12" t="s">
        <v>69</v>
      </c>
      <c r="D12" t="s">
        <v>89</v>
      </c>
      <c r="E12" t="s">
        <v>99</v>
      </c>
      <c r="F12" t="s">
        <v>114</v>
      </c>
    </row>
    <row r="13" spans="1:6">
      <c r="A13" s="2">
        <v>45394</v>
      </c>
      <c r="B13" t="s">
        <v>50</v>
      </c>
      <c r="C13" t="s">
        <v>70</v>
      </c>
      <c r="D13" t="s">
        <v>90</v>
      </c>
      <c r="E13" t="s">
        <v>100</v>
      </c>
      <c r="F13" t="s">
        <v>115</v>
      </c>
    </row>
    <row r="14" spans="1:6">
      <c r="A14" s="2">
        <v>45395</v>
      </c>
      <c r="B14" t="s">
        <v>51</v>
      </c>
      <c r="C14" t="s">
        <v>71</v>
      </c>
      <c r="D14" t="s">
        <v>91</v>
      </c>
      <c r="E14" t="s">
        <v>101</v>
      </c>
      <c r="F14" t="s">
        <v>116</v>
      </c>
    </row>
    <row r="15" spans="1:6">
      <c r="A15" s="2">
        <v>45396</v>
      </c>
      <c r="B15" t="s">
        <v>52</v>
      </c>
      <c r="C15" t="s">
        <v>72</v>
      </c>
      <c r="D15" t="s">
        <v>92</v>
      </c>
      <c r="E15" t="s">
        <v>102</v>
      </c>
      <c r="F15" t="s">
        <v>117</v>
      </c>
    </row>
    <row r="16" spans="1:6">
      <c r="A16" s="2">
        <v>45397</v>
      </c>
      <c r="B16" t="s">
        <v>53</v>
      </c>
      <c r="C16" t="s">
        <v>73</v>
      </c>
      <c r="D16" t="s">
        <v>93</v>
      </c>
      <c r="E16" t="s">
        <v>103</v>
      </c>
      <c r="F16" t="s">
        <v>118</v>
      </c>
    </row>
    <row r="17" spans="1:6">
      <c r="A17" s="2">
        <v>45398</v>
      </c>
      <c r="B17" t="s">
        <v>54</v>
      </c>
      <c r="C17" t="s">
        <v>74</v>
      </c>
      <c r="D17" t="s">
        <v>94</v>
      </c>
      <c r="E17" t="s">
        <v>99</v>
      </c>
      <c r="F17" t="s">
        <v>119</v>
      </c>
    </row>
    <row r="18" spans="1:6">
      <c r="A18" s="2">
        <v>45399</v>
      </c>
      <c r="B18" t="s">
        <v>55</v>
      </c>
      <c r="C18" t="s">
        <v>75</v>
      </c>
      <c r="D18" t="s">
        <v>95</v>
      </c>
      <c r="E18" t="s">
        <v>100</v>
      </c>
      <c r="F18" t="s">
        <v>120</v>
      </c>
    </row>
    <row r="19" spans="1:6">
      <c r="A19" s="2">
        <v>45400</v>
      </c>
      <c r="B19" t="s">
        <v>56</v>
      </c>
      <c r="C19" t="s">
        <v>76</v>
      </c>
      <c r="D19" t="s">
        <v>96</v>
      </c>
      <c r="E19" t="s">
        <v>101</v>
      </c>
      <c r="F19" t="s">
        <v>121</v>
      </c>
    </row>
    <row r="20" spans="1:6">
      <c r="A20" s="2">
        <v>45401</v>
      </c>
      <c r="B20" t="s">
        <v>57</v>
      </c>
      <c r="C20" t="s">
        <v>77</v>
      </c>
      <c r="D20" t="s">
        <v>97</v>
      </c>
      <c r="E20" t="s">
        <v>102</v>
      </c>
      <c r="F20" t="s">
        <v>122</v>
      </c>
    </row>
    <row r="21" spans="1:6">
      <c r="A21" s="2">
        <v>45402</v>
      </c>
      <c r="B21" t="s">
        <v>58</v>
      </c>
      <c r="C21" t="s">
        <v>78</v>
      </c>
      <c r="D21" t="s">
        <v>98</v>
      </c>
      <c r="E21" t="s">
        <v>103</v>
      </c>
      <c r="F21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Financier</vt:lpstr>
      <vt:lpstr>Operationnel</vt:lpstr>
      <vt:lpstr>Social</vt:lpstr>
      <vt:lpstr>Fintech</vt:lpstr>
      <vt:lpstr>Discipline</vt:lpstr>
      <vt:lpstr>KPI Hebdo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2026-05-23T18:03:51Z</dcterms:created>
  <dcterms:modified xsi:type="dcterms:W3CDTF">2026-05-23T18:03:51Z</dcterms:modified>
</cp:coreProperties>
</file>