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otidien" sheetId="1" r:id="rId1"/>
    <sheet name="Hebdomadaire" sheetId="2" r:id="rId2"/>
    <sheet name="Mensuel" sheetId="3" r:id="rId3"/>
    <sheet name="Guide Frequences" sheetId="4" r:id="rId4"/>
    <sheet name="Rapport Motos" sheetId="5" r:id="rId5"/>
    <sheet name="Beneficiaires" sheetId="6" r:id="rId6"/>
  </sheets>
  <calcPr calcId="124519" fullCalcOnLoad="1"/>
</workbook>
</file>

<file path=xl/sharedStrings.xml><?xml version="1.0" encoding="utf-8"?>
<sst xmlns="http://schemas.openxmlformats.org/spreadsheetml/2006/main" count="127" uniqueCount="72">
  <si>
    <t>FREQUENCE QUOTIDIENNE - Indicateurs quotidiens</t>
  </si>
  <si>
    <t>Feuille organisee par frequence. Colonnes BLEUES = donnees a saisir. Colonnes VERTES = indicateurs calcules automatiquement.</t>
  </si>
  <si>
    <t>date</t>
  </si>
  <si>
    <t>Montant total attendu (FCFA)</t>
  </si>
  <si>
    <t>Total collecte (FCFA)</t>
  </si>
  <si>
    <t>Nombre de beneficiaires</t>
  </si>
  <si>
    <t>Motos actives (nb)</t>
  </si>
  <si>
    <t>Total motos (nb)</t>
  </si>
  <si>
    <t>Motos en panne (nb)</t>
  </si>
  <si>
    <t>Taux de versement du jour
[AUTO]</t>
  </si>
  <si>
    <t>Motos actives
[AUTO]</t>
  </si>
  <si>
    <t>FREQUENCE HEBDOMADAIRE - Indicateurs hebdomadaires</t>
  </si>
  <si>
    <t>Nombre de transactions (nb)</t>
  </si>
  <si>
    <t>Utilisateurs actifs (nb)</t>
  </si>
  <si>
    <t>Beneficiaires actifs (nb)</t>
  </si>
  <si>
    <t>Beneficiaires initial (nb)</t>
  </si>
  <si>
    <t>Revenus apres projet (FCFA)</t>
  </si>
  <si>
    <t>Nombre beneficiaires (nb)</t>
  </si>
  <si>
    <t>Paiements a temps (nb)</t>
  </si>
  <si>
    <t>Paiements attendus (nb)</t>
  </si>
  <si>
    <t>Jours actifs (nb)</t>
  </si>
  <si>
    <t>Jours totaux (nb)</t>
  </si>
  <si>
    <t>Taux de versement hebdomadaire
[AUTO]</t>
  </si>
  <si>
    <t>Taux de motos en panne
[AUTO]</t>
  </si>
  <si>
    <t>Nombre de transactions semaine
[AUTO]</t>
  </si>
  <si>
    <t>Taux de maintien dans le programme
[AUTO]</t>
  </si>
  <si>
    <t>Score discipline moyen
[AUTO]</t>
  </si>
  <si>
    <t>FREQUENCE MENSUELLE - Indicateurs mensuels</t>
  </si>
  <si>
    <t>Taux de versement moyen
[AUTO]</t>
  </si>
  <si>
    <t>Montant moyen paye par beneficiaire
[AUTO]</t>
  </si>
  <si>
    <t>Nombre de transactions
[AUTO]</t>
  </si>
  <si>
    <t>Nombre d'utilisateurs actifs
[AUTO]</t>
  </si>
  <si>
    <t>Revenu moyen reel
[AUTO]</t>
  </si>
  <si>
    <t>GUIDE - Indicateurs classes par frequence</t>
  </si>
  <si>
    <t>Frequence</t>
  </si>
  <si>
    <t>Indicateur</t>
  </si>
  <si>
    <t>Bloc KPI</t>
  </si>
  <si>
    <t>Quotidien</t>
  </si>
  <si>
    <t>Taux de versement du jour</t>
  </si>
  <si>
    <t>Financier</t>
  </si>
  <si>
    <t>Quotidien / Hebdomadaire / Mensuel</t>
  </si>
  <si>
    <t>Motos actives</t>
  </si>
  <si>
    <t>Operationnel</t>
  </si>
  <si>
    <t>Hebdomadaire</t>
  </si>
  <si>
    <t>Taux de motos en panne</t>
  </si>
  <si>
    <t>Nombre de transactions semaine</t>
  </si>
  <si>
    <t>Fintech</t>
  </si>
  <si>
    <t>Mensuel</t>
  </si>
  <si>
    <t>Taux de versement moyen</t>
  </si>
  <si>
    <t>Montant moyen paye par beneficiaire</t>
  </si>
  <si>
    <t>Revenu moyen reel</t>
  </si>
  <si>
    <t>Social</t>
  </si>
  <si>
    <t>Nombre de transactions</t>
  </si>
  <si>
    <t>Nombre d'utilisateurs actifs</t>
  </si>
  <si>
    <t>Hebdomadaire / Mensuel</t>
  </si>
  <si>
    <t>Taux de maintien dans le programme</t>
  </si>
  <si>
    <t>Score discipline moyen</t>
  </si>
  <si>
    <t>Discipline</t>
  </si>
  <si>
    <t>Top 20 des plus disciplines</t>
  </si>
  <si>
    <t>Top 20 des plus indisciplines</t>
  </si>
  <si>
    <t>Rapport des versements par moto</t>
  </si>
  <si>
    <t>Rapport motos</t>
  </si>
  <si>
    <t>RAPPORT MOTOS - Versements par moto</t>
  </si>
  <si>
    <t>moto_id</t>
  </si>
  <si>
    <t>versement_attendu</t>
  </si>
  <si>
    <t>versement_recu</t>
  </si>
  <si>
    <t>BENEFICIAIRES - Repertoire</t>
  </si>
  <si>
    <t>Nom</t>
  </si>
  <si>
    <t>Telephone</t>
  </si>
  <si>
    <t>Moto</t>
  </si>
  <si>
    <t>Zone/Quartier</t>
  </si>
  <si>
    <t>Date_Integration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</si>
</sst>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0.00%"/>
  </numFmts>
  <fonts count="6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663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F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164" fontId="0" fillId="6" borderId="1" xfId="0" applyNumberFormat="1" applyFill="1" applyBorder="1"/>
    <xf numFmtId="165" fontId="0" fillId="6" borderId="1" xfId="0" applyNumberFormat="1" applyFill="1" applyBorder="1"/>
    <xf numFmtId="166" fontId="5" fillId="7" borderId="1" xfId="0" applyNumberFormat="1" applyFont="1" applyFill="1" applyBorder="1"/>
    <xf numFmtId="165" fontId="5" fillId="7" borderId="1" xfId="0" applyNumberFormat="1" applyFont="1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24.7109375" customWidth="1"/>
    <col min="3" max="5" width="22.7109375" customWidth="1"/>
    <col min="6" max="6" width="20.7109375" customWidth="1"/>
    <col min="7" max="7" width="24.7109375" customWidth="1"/>
    <col min="8" max="9" width="26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4" t="s">
        <v>9</v>
      </c>
      <c r="I3" s="4" t="s">
        <v>10</v>
      </c>
    </row>
    <row r="4" spans="1:9">
      <c r="A4" s="5">
        <v>46174</v>
      </c>
      <c r="B4" s="6"/>
      <c r="C4" s="6"/>
      <c r="D4" s="6"/>
      <c r="E4" s="6"/>
      <c r="F4" s="6"/>
      <c r="G4" s="6"/>
      <c r="H4" s="7">
        <f>IF(B4=0,0,C4/B4)</f>
        <v>0</v>
      </c>
      <c r="I4" s="8">
        <f>E4</f>
        <v>0</v>
      </c>
    </row>
    <row r="5" spans="1:9">
      <c r="A5" s="5">
        <v>46175</v>
      </c>
      <c r="B5" s="6"/>
      <c r="C5" s="6"/>
      <c r="D5" s="6"/>
      <c r="E5" s="6"/>
      <c r="F5" s="6"/>
      <c r="G5" s="6"/>
      <c r="H5" s="7">
        <f>IF(B5=0,0,C5/B5)</f>
        <v>0</v>
      </c>
      <c r="I5" s="8">
        <f>E5</f>
        <v>0</v>
      </c>
    </row>
    <row r="6" spans="1:9">
      <c r="A6" s="5">
        <v>46176</v>
      </c>
      <c r="B6" s="6"/>
      <c r="C6" s="6"/>
      <c r="D6" s="6"/>
      <c r="E6" s="6"/>
      <c r="F6" s="6"/>
      <c r="G6" s="6"/>
      <c r="H6" s="7">
        <f>IF(B6=0,0,C6/B6)</f>
        <v>0</v>
      </c>
      <c r="I6" s="8">
        <f>E6</f>
        <v>0</v>
      </c>
    </row>
    <row r="7" spans="1:9">
      <c r="A7" s="5">
        <v>46177</v>
      </c>
      <c r="B7" s="6"/>
      <c r="C7" s="6"/>
      <c r="D7" s="6"/>
      <c r="E7" s="6"/>
      <c r="F7" s="6"/>
      <c r="G7" s="6"/>
      <c r="H7" s="7">
        <f>IF(B7=0,0,C7/B7)</f>
        <v>0</v>
      </c>
      <c r="I7" s="8">
        <f>E7</f>
        <v>0</v>
      </c>
    </row>
    <row r="8" spans="1:9">
      <c r="A8" s="5">
        <v>46178</v>
      </c>
      <c r="B8" s="6"/>
      <c r="C8" s="6"/>
      <c r="D8" s="6"/>
      <c r="E8" s="6"/>
      <c r="F8" s="6"/>
      <c r="G8" s="6"/>
      <c r="H8" s="7">
        <f>IF(B8=0,0,C8/B8)</f>
        <v>0</v>
      </c>
      <c r="I8" s="8">
        <f>E8</f>
        <v>0</v>
      </c>
    </row>
    <row r="9" spans="1:9">
      <c r="A9" s="5">
        <v>46179</v>
      </c>
      <c r="B9" s="6"/>
      <c r="C9" s="6"/>
      <c r="D9" s="6"/>
      <c r="E9" s="6"/>
      <c r="F9" s="6"/>
      <c r="G9" s="6"/>
      <c r="H9" s="7">
        <f>IF(B9=0,0,C9/B9)</f>
        <v>0</v>
      </c>
      <c r="I9" s="8">
        <f>E9</f>
        <v>0</v>
      </c>
    </row>
    <row r="10" spans="1:9">
      <c r="A10" s="5">
        <v>46180</v>
      </c>
      <c r="B10" s="6"/>
      <c r="C10" s="6"/>
      <c r="D10" s="6"/>
      <c r="E10" s="6"/>
      <c r="F10" s="6"/>
      <c r="G10" s="6"/>
      <c r="H10" s="7">
        <f>IF(B10=0,0,C10/B10)</f>
        <v>0</v>
      </c>
      <c r="I10" s="8">
        <f>E10</f>
        <v>0</v>
      </c>
    </row>
    <row r="11" spans="1:9">
      <c r="A11" s="5">
        <v>46181</v>
      </c>
      <c r="B11" s="6"/>
      <c r="C11" s="6"/>
      <c r="D11" s="6"/>
      <c r="E11" s="6"/>
      <c r="F11" s="6"/>
      <c r="G11" s="6"/>
      <c r="H11" s="7">
        <f>IF(B11=0,0,C11/B11)</f>
        <v>0</v>
      </c>
      <c r="I11" s="8">
        <f>E11</f>
        <v>0</v>
      </c>
    </row>
    <row r="12" spans="1:9">
      <c r="A12" s="5">
        <v>46182</v>
      </c>
      <c r="B12" s="6"/>
      <c r="C12" s="6"/>
      <c r="D12" s="6"/>
      <c r="E12" s="6"/>
      <c r="F12" s="6"/>
      <c r="G12" s="6"/>
      <c r="H12" s="7">
        <f>IF(B12=0,0,C12/B12)</f>
        <v>0</v>
      </c>
      <c r="I12" s="8">
        <f>E12</f>
        <v>0</v>
      </c>
    </row>
    <row r="13" spans="1:9">
      <c r="A13" s="5">
        <v>46183</v>
      </c>
      <c r="B13" s="6"/>
      <c r="C13" s="6"/>
      <c r="D13" s="6"/>
      <c r="E13" s="6"/>
      <c r="F13" s="6"/>
      <c r="G13" s="6"/>
      <c r="H13" s="7">
        <f>IF(B13=0,0,C13/B13)</f>
        <v>0</v>
      </c>
      <c r="I13" s="8">
        <f>E13</f>
        <v>0</v>
      </c>
    </row>
    <row r="14" spans="1:9">
      <c r="A14" s="5">
        <v>46184</v>
      </c>
      <c r="B14" s="6"/>
      <c r="C14" s="6"/>
      <c r="D14" s="6"/>
      <c r="E14" s="6"/>
      <c r="F14" s="6"/>
      <c r="G14" s="6"/>
      <c r="H14" s="7">
        <f>IF(B14=0,0,C14/B14)</f>
        <v>0</v>
      </c>
      <c r="I14" s="8">
        <f>E14</f>
        <v>0</v>
      </c>
    </row>
    <row r="15" spans="1:9">
      <c r="A15" s="5">
        <v>46185</v>
      </c>
      <c r="B15" s="6"/>
      <c r="C15" s="6"/>
      <c r="D15" s="6"/>
      <c r="E15" s="6"/>
      <c r="F15" s="6"/>
      <c r="G15" s="6"/>
      <c r="H15" s="7">
        <f>IF(B15=0,0,C15/B15)</f>
        <v>0</v>
      </c>
      <c r="I15" s="8">
        <f>E15</f>
        <v>0</v>
      </c>
    </row>
    <row r="16" spans="1:9">
      <c r="A16" s="5">
        <v>46186</v>
      </c>
      <c r="B16" s="6"/>
      <c r="C16" s="6"/>
      <c r="D16" s="6"/>
      <c r="E16" s="6"/>
      <c r="F16" s="6"/>
      <c r="G16" s="6"/>
      <c r="H16" s="7">
        <f>IF(B16=0,0,C16/B16)</f>
        <v>0</v>
      </c>
      <c r="I16" s="8">
        <f>E16</f>
        <v>0</v>
      </c>
    </row>
    <row r="17" spans="1:9">
      <c r="A17" s="5">
        <v>46187</v>
      </c>
      <c r="B17" s="6"/>
      <c r="C17" s="6"/>
      <c r="D17" s="6"/>
      <c r="E17" s="6"/>
      <c r="F17" s="6"/>
      <c r="G17" s="6"/>
      <c r="H17" s="7">
        <f>IF(B17=0,0,C17/B17)</f>
        <v>0</v>
      </c>
      <c r="I17" s="8">
        <f>E17</f>
        <v>0</v>
      </c>
    </row>
    <row r="18" spans="1:9">
      <c r="A18" s="5">
        <v>46188</v>
      </c>
      <c r="B18" s="6"/>
      <c r="C18" s="6"/>
      <c r="D18" s="6"/>
      <c r="E18" s="6"/>
      <c r="F18" s="6"/>
      <c r="G18" s="6"/>
      <c r="H18" s="7">
        <f>IF(B18=0,0,C18/B18)</f>
        <v>0</v>
      </c>
      <c r="I18" s="8">
        <f>E18</f>
        <v>0</v>
      </c>
    </row>
    <row r="19" spans="1:9">
      <c r="A19" s="5">
        <v>46189</v>
      </c>
      <c r="B19" s="6"/>
      <c r="C19" s="6"/>
      <c r="D19" s="6"/>
      <c r="E19" s="6"/>
      <c r="F19" s="6"/>
      <c r="G19" s="6"/>
      <c r="H19" s="7">
        <f>IF(B19=0,0,C19/B19)</f>
        <v>0</v>
      </c>
      <c r="I19" s="8">
        <f>E19</f>
        <v>0</v>
      </c>
    </row>
    <row r="20" spans="1:9">
      <c r="A20" s="5">
        <v>46190</v>
      </c>
      <c r="B20" s="6"/>
      <c r="C20" s="6"/>
      <c r="D20" s="6"/>
      <c r="E20" s="6"/>
      <c r="F20" s="6"/>
      <c r="G20" s="6"/>
      <c r="H20" s="7">
        <f>IF(B20=0,0,C20/B20)</f>
        <v>0</v>
      </c>
      <c r="I20" s="8">
        <f>E20</f>
        <v>0</v>
      </c>
    </row>
    <row r="21" spans="1:9">
      <c r="A21" s="5">
        <v>46191</v>
      </c>
      <c r="B21" s="6"/>
      <c r="C21" s="6"/>
      <c r="D21" s="6"/>
      <c r="E21" s="6"/>
      <c r="F21" s="6"/>
      <c r="G21" s="6"/>
      <c r="H21" s="7">
        <f>IF(B21=0,0,C21/B21)</f>
        <v>0</v>
      </c>
      <c r="I21" s="8">
        <f>E21</f>
        <v>0</v>
      </c>
    </row>
    <row r="22" spans="1:9">
      <c r="A22" s="5">
        <v>46192</v>
      </c>
      <c r="B22" s="6"/>
      <c r="C22" s="6"/>
      <c r="D22" s="6"/>
      <c r="E22" s="6"/>
      <c r="F22" s="6"/>
      <c r="G22" s="6"/>
      <c r="H22" s="7">
        <f>IF(B22=0,0,C22/B22)</f>
        <v>0</v>
      </c>
      <c r="I22" s="8">
        <f>E22</f>
        <v>0</v>
      </c>
    </row>
    <row r="23" spans="1:9">
      <c r="A23" s="5">
        <v>46193</v>
      </c>
      <c r="B23" s="6"/>
      <c r="C23" s="6"/>
      <c r="D23" s="6"/>
      <c r="E23" s="6"/>
      <c r="F23" s="6"/>
      <c r="G23" s="6"/>
      <c r="H23" s="7">
        <f>IF(B23=0,0,C23/B23)</f>
        <v>0</v>
      </c>
      <c r="I23" s="8">
        <f>E23</f>
        <v>0</v>
      </c>
    </row>
    <row r="24" spans="1:9">
      <c r="A24" s="5">
        <v>46194</v>
      </c>
      <c r="B24" s="6"/>
      <c r="C24" s="6"/>
      <c r="D24" s="6"/>
      <c r="E24" s="6"/>
      <c r="F24" s="6"/>
      <c r="G24" s="6"/>
      <c r="H24" s="7">
        <f>IF(B24=0,0,C24/B24)</f>
        <v>0</v>
      </c>
      <c r="I24" s="8">
        <f>E24</f>
        <v>0</v>
      </c>
    </row>
    <row r="25" spans="1:9">
      <c r="A25" s="5">
        <v>46195</v>
      </c>
      <c r="B25" s="6"/>
      <c r="C25" s="6"/>
      <c r="D25" s="6"/>
      <c r="E25" s="6"/>
      <c r="F25" s="6"/>
      <c r="G25" s="6"/>
      <c r="H25" s="7">
        <f>IF(B25=0,0,C25/B25)</f>
        <v>0</v>
      </c>
      <c r="I25" s="8">
        <f>E25</f>
        <v>0</v>
      </c>
    </row>
    <row r="26" spans="1:9">
      <c r="A26" s="5">
        <v>46196</v>
      </c>
      <c r="B26" s="6"/>
      <c r="C26" s="6"/>
      <c r="D26" s="6"/>
      <c r="E26" s="6"/>
      <c r="F26" s="6"/>
      <c r="G26" s="6"/>
      <c r="H26" s="7">
        <f>IF(B26=0,0,C26/B26)</f>
        <v>0</v>
      </c>
      <c r="I26" s="8">
        <f>E26</f>
        <v>0</v>
      </c>
    </row>
    <row r="27" spans="1:9">
      <c r="A27" s="5">
        <v>46197</v>
      </c>
      <c r="B27" s="6"/>
      <c r="C27" s="6"/>
      <c r="D27" s="6"/>
      <c r="E27" s="6"/>
      <c r="F27" s="6"/>
      <c r="G27" s="6"/>
      <c r="H27" s="7">
        <f>IF(B27=0,0,C27/B27)</f>
        <v>0</v>
      </c>
      <c r="I27" s="8">
        <f>E27</f>
        <v>0</v>
      </c>
    </row>
    <row r="28" spans="1:9">
      <c r="A28" s="5">
        <v>46198</v>
      </c>
      <c r="B28" s="6"/>
      <c r="C28" s="6"/>
      <c r="D28" s="6"/>
      <c r="E28" s="6"/>
      <c r="F28" s="6"/>
      <c r="G28" s="6"/>
      <c r="H28" s="7">
        <f>IF(B28=0,0,C28/B28)</f>
        <v>0</v>
      </c>
      <c r="I28" s="8">
        <f>E28</f>
        <v>0</v>
      </c>
    </row>
    <row r="29" spans="1:9">
      <c r="A29" s="5">
        <v>46199</v>
      </c>
      <c r="B29" s="6"/>
      <c r="C29" s="6"/>
      <c r="D29" s="6"/>
      <c r="E29" s="6"/>
      <c r="F29" s="6"/>
      <c r="G29" s="6"/>
      <c r="H29" s="7">
        <f>IF(B29=0,0,C29/B29)</f>
        <v>0</v>
      </c>
      <c r="I29" s="8">
        <f>E29</f>
        <v>0</v>
      </c>
    </row>
    <row r="30" spans="1:9">
      <c r="A30" s="5">
        <v>46200</v>
      </c>
      <c r="B30" s="6"/>
      <c r="C30" s="6"/>
      <c r="D30" s="6"/>
      <c r="E30" s="6"/>
      <c r="F30" s="6"/>
      <c r="G30" s="6"/>
      <c r="H30" s="7">
        <f>IF(B30=0,0,C30/B30)</f>
        <v>0</v>
      </c>
      <c r="I30" s="8">
        <f>E30</f>
        <v>0</v>
      </c>
    </row>
    <row r="31" spans="1:9">
      <c r="A31" s="5">
        <v>46201</v>
      </c>
      <c r="B31" s="6"/>
      <c r="C31" s="6"/>
      <c r="D31" s="6"/>
      <c r="E31" s="6"/>
      <c r="F31" s="6"/>
      <c r="G31" s="6"/>
      <c r="H31" s="7">
        <f>IF(B31=0,0,C31/B31)</f>
        <v>0</v>
      </c>
      <c r="I31" s="8">
        <f>E31</f>
        <v>0</v>
      </c>
    </row>
    <row r="32" spans="1:9">
      <c r="A32" s="5">
        <v>46202</v>
      </c>
      <c r="B32" s="6"/>
      <c r="C32" s="6"/>
      <c r="D32" s="6"/>
      <c r="E32" s="6"/>
      <c r="F32" s="6"/>
      <c r="G32" s="6"/>
      <c r="H32" s="7">
        <f>IF(B32=0,0,C32/B32)</f>
        <v>0</v>
      </c>
      <c r="I32" s="8">
        <f>E32</f>
        <v>0</v>
      </c>
    </row>
    <row r="33" spans="1:9">
      <c r="A33" s="5">
        <v>46203</v>
      </c>
      <c r="B33" s="6"/>
      <c r="C33" s="6"/>
      <c r="D33" s="6"/>
      <c r="E33" s="6"/>
      <c r="F33" s="6"/>
      <c r="G33" s="6"/>
      <c r="H33" s="7">
        <f>IF(B33=0,0,C33/B33)</f>
        <v>0</v>
      </c>
      <c r="I33" s="8">
        <f>E33</f>
        <v>0</v>
      </c>
    </row>
    <row r="34" spans="1:9">
      <c r="A34" s="5">
        <v>46204</v>
      </c>
      <c r="B34" s="6"/>
      <c r="C34" s="6"/>
      <c r="D34" s="6"/>
      <c r="E34" s="6"/>
      <c r="F34" s="6"/>
      <c r="G34" s="6"/>
      <c r="H34" s="7">
        <f>IF(B34=0,0,C34/B34)</f>
        <v>0</v>
      </c>
      <c r="I34" s="8">
        <f>E34</f>
        <v>0</v>
      </c>
    </row>
    <row r="35" spans="1:9">
      <c r="A35" s="5">
        <v>46205</v>
      </c>
      <c r="B35" s="6"/>
      <c r="C35" s="6"/>
      <c r="D35" s="6"/>
      <c r="E35" s="6"/>
      <c r="F35" s="6"/>
      <c r="G35" s="6"/>
      <c r="H35" s="7">
        <f>IF(B35=0,0,C35/B35)</f>
        <v>0</v>
      </c>
      <c r="I35" s="8">
        <f>E35</f>
        <v>0</v>
      </c>
    </row>
    <row r="36" spans="1:9">
      <c r="A36" s="5">
        <v>46206</v>
      </c>
      <c r="B36" s="6"/>
      <c r="C36" s="6"/>
      <c r="D36" s="6"/>
      <c r="E36" s="6"/>
      <c r="F36" s="6"/>
      <c r="G36" s="6"/>
      <c r="H36" s="7">
        <f>IF(B36=0,0,C36/B36)</f>
        <v>0</v>
      </c>
      <c r="I36" s="8">
        <f>E36</f>
        <v>0</v>
      </c>
    </row>
    <row r="37" spans="1:9">
      <c r="A37" s="5">
        <v>46207</v>
      </c>
      <c r="B37" s="6"/>
      <c r="C37" s="6"/>
      <c r="D37" s="6"/>
      <c r="E37" s="6"/>
      <c r="F37" s="6"/>
      <c r="G37" s="6"/>
      <c r="H37" s="7">
        <f>IF(B37=0,0,C37/B37)</f>
        <v>0</v>
      </c>
      <c r="I37" s="8">
        <f>E37</f>
        <v>0</v>
      </c>
    </row>
    <row r="38" spans="1:9">
      <c r="A38" s="5">
        <v>46208</v>
      </c>
      <c r="B38" s="6"/>
      <c r="C38" s="6"/>
      <c r="D38" s="6"/>
      <c r="E38" s="6"/>
      <c r="F38" s="6"/>
      <c r="G38" s="6"/>
      <c r="H38" s="7">
        <f>IF(B38=0,0,C38/B38)</f>
        <v>0</v>
      </c>
      <c r="I38" s="8">
        <f>E38</f>
        <v>0</v>
      </c>
    </row>
    <row r="39" spans="1:9">
      <c r="A39" s="5">
        <v>46209</v>
      </c>
      <c r="B39" s="6"/>
      <c r="C39" s="6"/>
      <c r="D39" s="6"/>
      <c r="E39" s="6"/>
      <c r="F39" s="6"/>
      <c r="G39" s="6"/>
      <c r="H39" s="7">
        <f>IF(B39=0,0,C39/B39)</f>
        <v>0</v>
      </c>
      <c r="I39" s="8">
        <f>E39</f>
        <v>0</v>
      </c>
    </row>
    <row r="40" spans="1:9">
      <c r="A40" s="5">
        <v>46210</v>
      </c>
      <c r="B40" s="6"/>
      <c r="C40" s="6"/>
      <c r="D40" s="6"/>
      <c r="E40" s="6"/>
      <c r="F40" s="6"/>
      <c r="G40" s="6"/>
      <c r="H40" s="7">
        <f>IF(B40=0,0,C40/B40)</f>
        <v>0</v>
      </c>
      <c r="I40" s="8">
        <f>E40</f>
        <v>0</v>
      </c>
    </row>
    <row r="41" spans="1:9">
      <c r="A41" s="5">
        <v>46211</v>
      </c>
      <c r="B41" s="6"/>
      <c r="C41" s="6"/>
      <c r="D41" s="6"/>
      <c r="E41" s="6"/>
      <c r="F41" s="6"/>
      <c r="G41" s="6"/>
      <c r="H41" s="7">
        <f>IF(B41=0,0,C41/B41)</f>
        <v>0</v>
      </c>
      <c r="I41" s="8">
        <f>E41</f>
        <v>0</v>
      </c>
    </row>
    <row r="42" spans="1:9">
      <c r="A42" s="5">
        <v>46212</v>
      </c>
      <c r="B42" s="6"/>
      <c r="C42" s="6"/>
      <c r="D42" s="6"/>
      <c r="E42" s="6"/>
      <c r="F42" s="6"/>
      <c r="G42" s="6"/>
      <c r="H42" s="7">
        <f>IF(B42=0,0,C42/B42)</f>
        <v>0</v>
      </c>
      <c r="I42" s="8">
        <f>E42</f>
        <v>0</v>
      </c>
    </row>
    <row r="43" spans="1:9">
      <c r="A43" s="5">
        <v>46213</v>
      </c>
      <c r="B43" s="6"/>
      <c r="C43" s="6"/>
      <c r="D43" s="6"/>
      <c r="E43" s="6"/>
      <c r="F43" s="6"/>
      <c r="G43" s="6"/>
      <c r="H43" s="7">
        <f>IF(B43=0,0,C43/B43)</f>
        <v>0</v>
      </c>
      <c r="I43" s="8">
        <f>E43</f>
        <v>0</v>
      </c>
    </row>
    <row r="44" spans="1:9">
      <c r="A44" s="5">
        <v>46214</v>
      </c>
      <c r="B44" s="6"/>
      <c r="C44" s="6"/>
      <c r="D44" s="6"/>
      <c r="E44" s="6"/>
      <c r="F44" s="6"/>
      <c r="G44" s="6"/>
      <c r="H44" s="7">
        <f>IF(B44=0,0,C44/B44)</f>
        <v>0</v>
      </c>
      <c r="I44" s="8">
        <f>E44</f>
        <v>0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24.7109375" customWidth="1"/>
    <col min="3" max="5" width="22.7109375" customWidth="1"/>
    <col min="6" max="6" width="20.7109375" customWidth="1"/>
    <col min="7" max="7" width="24.7109375" customWidth="1"/>
    <col min="8" max="8" width="26.7109375" customWidth="1"/>
    <col min="9" max="11" width="24.7109375" customWidth="1"/>
    <col min="12" max="12" width="26.7109375" customWidth="1"/>
    <col min="13" max="13" width="24.7109375" customWidth="1"/>
    <col min="14" max="14" width="23.7109375" customWidth="1"/>
    <col min="15" max="15" width="24.7109375" customWidth="1"/>
    <col min="16" max="17" width="18.7109375" customWidth="1"/>
    <col min="18" max="18" width="24.7109375" customWidth="1"/>
    <col min="19" max="19" width="20.7109375" customWidth="1"/>
    <col min="20" max="24" width="26.7109375" customWidth="1"/>
  </cols>
  <sheetData>
    <row r="1" spans="1:24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8</v>
      </c>
      <c r="S3" s="3" t="s">
        <v>7</v>
      </c>
      <c r="T3" s="4" t="s">
        <v>22</v>
      </c>
      <c r="U3" s="4" t="s">
        <v>23</v>
      </c>
      <c r="V3" s="4" t="s">
        <v>24</v>
      </c>
      <c r="W3" s="4" t="s">
        <v>25</v>
      </c>
      <c r="X3" s="4" t="s">
        <v>26</v>
      </c>
    </row>
    <row r="4" spans="1:24">
      <c r="A4" s="5">
        <v>46174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>
        <f>IF(B4=0,0,C4/B4)</f>
        <v>0</v>
      </c>
      <c r="U4" s="7">
        <f>IF(F4=0,0,G4/F4)</f>
        <v>0</v>
      </c>
      <c r="V4" s="8">
        <f>H4</f>
        <v>0</v>
      </c>
      <c r="W4" s="7">
        <f>IF(K4=0,0,J4/K4)</f>
        <v>0</v>
      </c>
      <c r="X4" s="7">
        <f>IF(OR(O4=0,Q4=0,S4=0),0,((N4/O4)*0.4+(P4/Q4)*0.3+(1-R4/S4)*0.2)/0.9)</f>
        <v>0</v>
      </c>
    </row>
    <row r="5" spans="1:24">
      <c r="A5" s="5">
        <v>46181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>
        <f>IF(B5=0,0,C5/B5)</f>
        <v>0</v>
      </c>
      <c r="U5" s="7">
        <f>IF(F5=0,0,G5/F5)</f>
        <v>0</v>
      </c>
      <c r="V5" s="8">
        <f>H5</f>
        <v>0</v>
      </c>
      <c r="W5" s="7">
        <f>IF(K5=0,0,J5/K5)</f>
        <v>0</v>
      </c>
      <c r="X5" s="7">
        <f>IF(OR(O5=0,Q5=0,S5=0),0,((N5/O5)*0.4+(P5/Q5)*0.3+(1-R5/S5)*0.2)/0.9)</f>
        <v>0</v>
      </c>
    </row>
    <row r="6" spans="1:24">
      <c r="A6" s="5">
        <v>46188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>
        <f>IF(B6=0,0,C6/B6)</f>
        <v>0</v>
      </c>
      <c r="U6" s="7">
        <f>IF(F6=0,0,G6/F6)</f>
        <v>0</v>
      </c>
      <c r="V6" s="8">
        <f>H6</f>
        <v>0</v>
      </c>
      <c r="W6" s="7">
        <f>IF(K6=0,0,J6/K6)</f>
        <v>0</v>
      </c>
      <c r="X6" s="7">
        <f>IF(OR(O6=0,Q6=0,S6=0),0,((N6/O6)*0.4+(P6/Q6)*0.3+(1-R6/S6)*0.2)/0.9)</f>
        <v>0</v>
      </c>
    </row>
    <row r="7" spans="1:24">
      <c r="A7" s="5">
        <v>46195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>
        <f>IF(B7=0,0,C7/B7)</f>
        <v>0</v>
      </c>
      <c r="U7" s="7">
        <f>IF(F7=0,0,G7/F7)</f>
        <v>0</v>
      </c>
      <c r="V7" s="8">
        <f>H7</f>
        <v>0</v>
      </c>
      <c r="W7" s="7">
        <f>IF(K7=0,0,J7/K7)</f>
        <v>0</v>
      </c>
      <c r="X7" s="7">
        <f>IF(OR(O7=0,Q7=0,S7=0),0,((N7/O7)*0.4+(P7/Q7)*0.3+(1-R7/S7)*0.2)/0.9)</f>
        <v>0</v>
      </c>
    </row>
    <row r="8" spans="1:24">
      <c r="A8" s="5">
        <v>46202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>
        <f>IF(B8=0,0,C8/B8)</f>
        <v>0</v>
      </c>
      <c r="U8" s="7">
        <f>IF(F8=0,0,G8/F8)</f>
        <v>0</v>
      </c>
      <c r="V8" s="8">
        <f>H8</f>
        <v>0</v>
      </c>
      <c r="W8" s="7">
        <f>IF(K8=0,0,J8/K8)</f>
        <v>0</v>
      </c>
      <c r="X8" s="7">
        <f>IF(OR(O8=0,Q8=0,S8=0),0,((N8/O8)*0.4+(P8/Q8)*0.3+(1-R8/S8)*0.2)/0.9)</f>
        <v>0</v>
      </c>
    </row>
    <row r="9" spans="1:24">
      <c r="A9" s="5">
        <v>46209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>
        <f>IF(B9=0,0,C9/B9)</f>
        <v>0</v>
      </c>
      <c r="U9" s="7">
        <f>IF(F9=0,0,G9/F9)</f>
        <v>0</v>
      </c>
      <c r="V9" s="8">
        <f>H9</f>
        <v>0</v>
      </c>
      <c r="W9" s="7">
        <f>IF(K9=0,0,J9/K9)</f>
        <v>0</v>
      </c>
      <c r="X9" s="7">
        <f>IF(OR(O9=0,Q9=0,S9=0),0,((N9/O9)*0.4+(P9/Q9)*0.3+(1-R9/S9)*0.2)/0.9)</f>
        <v>0</v>
      </c>
    </row>
    <row r="10" spans="1:24">
      <c r="A10" s="5">
        <v>46214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7">
        <f>IF(B10=0,0,C10/B10)</f>
        <v>0</v>
      </c>
      <c r="U10" s="7">
        <f>IF(F10=0,0,G10/F10)</f>
        <v>0</v>
      </c>
      <c r="V10" s="8">
        <f>H10</f>
        <v>0</v>
      </c>
      <c r="W10" s="7">
        <f>IF(K10=0,0,J10/K10)</f>
        <v>0</v>
      </c>
      <c r="X10" s="7">
        <f>IF(OR(O10=0,Q10=0,S10=0),0,((N10/O10)*0.4+(P10/Q10)*0.3+(1-R10/S10)*0.2)/0.9)</f>
        <v>0</v>
      </c>
    </row>
  </sheetData>
  <mergeCells count="2">
    <mergeCell ref="A1:X1"/>
    <mergeCell ref="A2:X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24.7109375" customWidth="1"/>
    <col min="3" max="5" width="22.7109375" customWidth="1"/>
    <col min="6" max="6" width="20.7109375" customWidth="1"/>
    <col min="7" max="7" width="24.7109375" customWidth="1"/>
    <col min="8" max="8" width="26.7109375" customWidth="1"/>
    <col min="9" max="11" width="24.7109375" customWidth="1"/>
    <col min="12" max="12" width="26.7109375" customWidth="1"/>
    <col min="13" max="13" width="24.7109375" customWidth="1"/>
    <col min="14" max="14" width="23.7109375" customWidth="1"/>
    <col min="15" max="15" width="24.7109375" customWidth="1"/>
    <col min="16" max="17" width="18.7109375" customWidth="1"/>
    <col min="18" max="18" width="24.7109375" customWidth="1"/>
    <col min="19" max="19" width="20.7109375" customWidth="1"/>
    <col min="20" max="27" width="26.7109375" customWidth="1"/>
  </cols>
  <sheetData>
    <row r="1" spans="1:27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8</v>
      </c>
      <c r="S3" s="3" t="s">
        <v>7</v>
      </c>
      <c r="T3" s="4" t="s">
        <v>28</v>
      </c>
      <c r="U3" s="4" t="s">
        <v>29</v>
      </c>
      <c r="V3" s="4" t="s">
        <v>10</v>
      </c>
      <c r="W3" s="4" t="s">
        <v>30</v>
      </c>
      <c r="X3" s="4" t="s">
        <v>31</v>
      </c>
      <c r="Y3" s="4" t="s">
        <v>32</v>
      </c>
      <c r="Z3" s="4" t="s">
        <v>25</v>
      </c>
      <c r="AA3" s="4" t="s">
        <v>26</v>
      </c>
    </row>
    <row r="4" spans="1:27">
      <c r="A4" s="5">
        <v>46174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>
        <f>IF(B4=0,0,C4/B4)</f>
        <v>0</v>
      </c>
      <c r="U4" s="8">
        <f>IF(D4=0,0,C4/D4)</f>
        <v>0</v>
      </c>
      <c r="V4" s="8">
        <f>E4</f>
        <v>0</v>
      </c>
      <c r="W4" s="8">
        <f>H4</f>
        <v>0</v>
      </c>
      <c r="X4" s="8">
        <f>I4</f>
        <v>0</v>
      </c>
      <c r="Y4" s="8">
        <f>IF(M4=0,0,L4/M4)</f>
        <v>0</v>
      </c>
      <c r="Z4" s="7">
        <f>IF(K4=0,0,J4/K4)</f>
        <v>0</v>
      </c>
      <c r="AA4" s="7">
        <f>IF(OR(O4=0,Q4=0,S4=0),0,((N4/O4)*0.4+(P4/Q4)*0.3+(1-R4/S4)*0.2)/0.9)</f>
        <v>0</v>
      </c>
    </row>
    <row r="5" spans="1:27">
      <c r="A5" s="5">
        <v>46204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>
        <f>IF(B5=0,0,C5/B5)</f>
        <v>0</v>
      </c>
      <c r="U5" s="8">
        <f>IF(D5=0,0,C5/D5)</f>
        <v>0</v>
      </c>
      <c r="V5" s="8">
        <f>E5</f>
        <v>0</v>
      </c>
      <c r="W5" s="8">
        <f>H5</f>
        <v>0</v>
      </c>
      <c r="X5" s="8">
        <f>I5</f>
        <v>0</v>
      </c>
      <c r="Y5" s="8">
        <f>IF(M5=0,0,L5/M5)</f>
        <v>0</v>
      </c>
      <c r="Z5" s="7">
        <f>IF(K5=0,0,J5/K5)</f>
        <v>0</v>
      </c>
      <c r="AA5" s="7">
        <f>IF(OR(O5=0,Q5=0,S5=0),0,((N5/O5)*0.4+(P5/Q5)*0.3+(1-R5/S5)*0.2)/0.9)</f>
        <v>0</v>
      </c>
    </row>
  </sheetData>
  <mergeCells count="2">
    <mergeCell ref="A1:AA1"/>
    <mergeCell ref="A2:A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4.7109375" customWidth="1"/>
    <col min="2" max="2" width="42.7109375" customWidth="1"/>
    <col min="3" max="3" width="24.7109375" customWidth="1"/>
  </cols>
  <sheetData>
    <row r="1" spans="1:3">
      <c r="A1" s="1" t="s">
        <v>33</v>
      </c>
      <c r="B1" s="1"/>
      <c r="C1" s="1"/>
    </row>
    <row r="2" spans="1:3">
      <c r="A2" s="2" t="s">
        <v>1</v>
      </c>
      <c r="B2" s="2"/>
      <c r="C2" s="2"/>
    </row>
    <row r="3" spans="1:3">
      <c r="A3" s="3" t="s">
        <v>34</v>
      </c>
      <c r="B3" s="3" t="s">
        <v>35</v>
      </c>
      <c r="C3" s="3" t="s">
        <v>36</v>
      </c>
    </row>
    <row r="4" spans="1:3">
      <c r="A4" s="9" t="s">
        <v>37</v>
      </c>
      <c r="B4" s="9" t="s">
        <v>38</v>
      </c>
      <c r="C4" s="9" t="s">
        <v>39</v>
      </c>
    </row>
    <row r="5" spans="1:3">
      <c r="A5" s="9" t="s">
        <v>40</v>
      </c>
      <c r="B5" s="9" t="s">
        <v>41</v>
      </c>
      <c r="C5" s="9" t="s">
        <v>42</v>
      </c>
    </row>
    <row r="6" spans="1:3">
      <c r="A6" s="9" t="s">
        <v>43</v>
      </c>
      <c r="B6" s="9" t="s">
        <v>44</v>
      </c>
      <c r="C6" s="9" t="s">
        <v>42</v>
      </c>
    </row>
    <row r="7" spans="1:3">
      <c r="A7" s="9" t="s">
        <v>43</v>
      </c>
      <c r="B7" s="9" t="s">
        <v>45</v>
      </c>
      <c r="C7" s="9" t="s">
        <v>46</v>
      </c>
    </row>
    <row r="8" spans="1:3">
      <c r="A8" s="9" t="s">
        <v>47</v>
      </c>
      <c r="B8" s="9" t="s">
        <v>48</v>
      </c>
      <c r="C8" s="9" t="s">
        <v>39</v>
      </c>
    </row>
    <row r="9" spans="1:3">
      <c r="A9" s="9" t="s">
        <v>47</v>
      </c>
      <c r="B9" s="9" t="s">
        <v>49</v>
      </c>
      <c r="C9" s="9" t="s">
        <v>39</v>
      </c>
    </row>
    <row r="10" spans="1:3">
      <c r="A10" s="9" t="s">
        <v>47</v>
      </c>
      <c r="B10" s="9" t="s">
        <v>50</v>
      </c>
      <c r="C10" s="9" t="s">
        <v>51</v>
      </c>
    </row>
    <row r="11" spans="1:3">
      <c r="A11" s="9" t="s">
        <v>47</v>
      </c>
      <c r="B11" s="9" t="s">
        <v>52</v>
      </c>
      <c r="C11" s="9" t="s">
        <v>46</v>
      </c>
    </row>
    <row r="12" spans="1:3">
      <c r="A12" s="9" t="s">
        <v>47</v>
      </c>
      <c r="B12" s="9" t="s">
        <v>53</v>
      </c>
      <c r="C12" s="9" t="s">
        <v>46</v>
      </c>
    </row>
    <row r="13" spans="1:3">
      <c r="A13" s="9" t="s">
        <v>54</v>
      </c>
      <c r="B13" s="9" t="s">
        <v>55</v>
      </c>
      <c r="C13" s="9" t="s">
        <v>51</v>
      </c>
    </row>
    <row r="14" spans="1:3">
      <c r="A14" s="9" t="s">
        <v>54</v>
      </c>
      <c r="B14" s="9" t="s">
        <v>56</v>
      </c>
      <c r="C14" s="9" t="s">
        <v>57</v>
      </c>
    </row>
    <row r="15" spans="1:3">
      <c r="A15" s="9" t="s">
        <v>54</v>
      </c>
      <c r="B15" s="9" t="s">
        <v>58</v>
      </c>
      <c r="C15" s="9" t="s">
        <v>57</v>
      </c>
    </row>
    <row r="16" spans="1:3">
      <c r="A16" s="9" t="s">
        <v>54</v>
      </c>
      <c r="B16" s="9" t="s">
        <v>59</v>
      </c>
      <c r="C16" s="9" t="s">
        <v>57</v>
      </c>
    </row>
    <row r="17" spans="1:3">
      <c r="A17" s="9" t="s">
        <v>40</v>
      </c>
      <c r="B17" s="9" t="s">
        <v>60</v>
      </c>
      <c r="C17" s="9" t="s">
        <v>61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18.7109375" customWidth="1"/>
    <col min="3" max="3" width="22.7109375" customWidth="1"/>
    <col min="4" max="4" width="20.7109375" customWidth="1"/>
  </cols>
  <sheetData>
    <row r="1" spans="1:4">
      <c r="A1" s="1" t="s">
        <v>62</v>
      </c>
      <c r="B1" s="1"/>
      <c r="C1" s="1"/>
      <c r="D1" s="1"/>
    </row>
    <row r="2" spans="1:4">
      <c r="A2" s="2" t="s">
        <v>1</v>
      </c>
      <c r="B2" s="2"/>
      <c r="C2" s="2"/>
      <c r="D2" s="2"/>
    </row>
    <row r="3" spans="1:4">
      <c r="A3" s="3" t="s">
        <v>2</v>
      </c>
      <c r="B3" s="3" t="s">
        <v>63</v>
      </c>
      <c r="C3" s="3" t="s">
        <v>64</v>
      </c>
      <c r="D3" s="3" t="s">
        <v>65</v>
      </c>
    </row>
    <row r="4" spans="1:4">
      <c r="A4" s="5">
        <v>46174</v>
      </c>
      <c r="B4" s="9"/>
      <c r="C4" s="6"/>
      <c r="D4" s="6"/>
    </row>
    <row r="5" spans="1:4">
      <c r="A5" s="5">
        <v>46175</v>
      </c>
      <c r="B5" s="9"/>
      <c r="C5" s="6"/>
      <c r="D5" s="6"/>
    </row>
    <row r="6" spans="1:4">
      <c r="A6" s="5">
        <v>46176</v>
      </c>
      <c r="B6" s="9"/>
      <c r="C6" s="6"/>
      <c r="D6" s="6"/>
    </row>
    <row r="7" spans="1:4">
      <c r="A7" s="5">
        <v>46177</v>
      </c>
      <c r="B7" s="9"/>
      <c r="C7" s="6"/>
      <c r="D7" s="6"/>
    </row>
    <row r="8" spans="1:4">
      <c r="A8" s="5">
        <v>46178</v>
      </c>
      <c r="B8" s="9"/>
      <c r="C8" s="6"/>
      <c r="D8" s="6"/>
    </row>
    <row r="9" spans="1:4">
      <c r="A9" s="5">
        <v>46179</v>
      </c>
      <c r="B9" s="9"/>
      <c r="C9" s="6"/>
      <c r="D9" s="6"/>
    </row>
    <row r="10" spans="1:4">
      <c r="A10" s="5">
        <v>46180</v>
      </c>
      <c r="B10" s="9"/>
      <c r="C10" s="6"/>
      <c r="D10" s="6"/>
    </row>
    <row r="11" spans="1:4">
      <c r="A11" s="5">
        <v>46181</v>
      </c>
      <c r="B11" s="9"/>
      <c r="C11" s="6"/>
      <c r="D11" s="6"/>
    </row>
    <row r="12" spans="1:4">
      <c r="A12" s="5">
        <v>46182</v>
      </c>
      <c r="B12" s="9"/>
      <c r="C12" s="6"/>
      <c r="D12" s="6"/>
    </row>
    <row r="13" spans="1:4">
      <c r="A13" s="5">
        <v>46183</v>
      </c>
      <c r="B13" s="9"/>
      <c r="C13" s="6"/>
      <c r="D13" s="6"/>
    </row>
    <row r="14" spans="1:4">
      <c r="A14" s="5">
        <v>46184</v>
      </c>
      <c r="B14" s="9"/>
      <c r="C14" s="6"/>
      <c r="D14" s="6"/>
    </row>
    <row r="15" spans="1:4">
      <c r="A15" s="5">
        <v>46185</v>
      </c>
      <c r="B15" s="9"/>
      <c r="C15" s="6"/>
      <c r="D15" s="6"/>
    </row>
    <row r="16" spans="1:4">
      <c r="A16" s="5">
        <v>46186</v>
      </c>
      <c r="B16" s="9"/>
      <c r="C16" s="6"/>
      <c r="D16" s="6"/>
    </row>
    <row r="17" spans="1:4">
      <c r="A17" s="5">
        <v>46187</v>
      </c>
      <c r="B17" s="9"/>
      <c r="C17" s="6"/>
      <c r="D17" s="6"/>
    </row>
    <row r="18" spans="1:4">
      <c r="A18" s="5">
        <v>46188</v>
      </c>
      <c r="B18" s="9"/>
      <c r="C18" s="6"/>
      <c r="D18" s="6"/>
    </row>
    <row r="19" spans="1:4">
      <c r="A19" s="5">
        <v>46189</v>
      </c>
      <c r="B19" s="9"/>
      <c r="C19" s="6"/>
      <c r="D19" s="6"/>
    </row>
    <row r="20" spans="1:4">
      <c r="A20" s="5">
        <v>46190</v>
      </c>
      <c r="B20" s="9"/>
      <c r="C20" s="6"/>
      <c r="D20" s="6"/>
    </row>
    <row r="21" spans="1:4">
      <c r="A21" s="5">
        <v>46191</v>
      </c>
      <c r="B21" s="9"/>
      <c r="C21" s="6"/>
      <c r="D21" s="6"/>
    </row>
    <row r="22" spans="1:4">
      <c r="A22" s="5">
        <v>46192</v>
      </c>
      <c r="B22" s="9"/>
      <c r="C22" s="6"/>
      <c r="D22" s="6"/>
    </row>
    <row r="23" spans="1:4">
      <c r="A23" s="5">
        <v>46193</v>
      </c>
      <c r="B23" s="9"/>
      <c r="C23" s="6"/>
      <c r="D23" s="6"/>
    </row>
    <row r="24" spans="1:4">
      <c r="A24" s="5">
        <v>46194</v>
      </c>
      <c r="B24" s="9"/>
      <c r="C24" s="6"/>
      <c r="D24" s="6"/>
    </row>
    <row r="25" spans="1:4">
      <c r="A25" s="5">
        <v>46195</v>
      </c>
      <c r="B25" s="9"/>
      <c r="C25" s="6"/>
      <c r="D25" s="6"/>
    </row>
    <row r="26" spans="1:4">
      <c r="A26" s="5">
        <v>46196</v>
      </c>
      <c r="B26" s="9"/>
      <c r="C26" s="6"/>
      <c r="D26" s="6"/>
    </row>
    <row r="27" spans="1:4">
      <c r="A27" s="5">
        <v>46197</v>
      </c>
      <c r="B27" s="9"/>
      <c r="C27" s="6"/>
      <c r="D27" s="6"/>
    </row>
    <row r="28" spans="1:4">
      <c r="A28" s="5">
        <v>46198</v>
      </c>
      <c r="B28" s="9"/>
      <c r="C28" s="6"/>
      <c r="D28" s="6"/>
    </row>
    <row r="29" spans="1:4">
      <c r="A29" s="5">
        <v>46199</v>
      </c>
      <c r="B29" s="9"/>
      <c r="C29" s="6"/>
      <c r="D29" s="6"/>
    </row>
    <row r="30" spans="1:4">
      <c r="A30" s="5">
        <v>46200</v>
      </c>
      <c r="B30" s="9"/>
      <c r="C30" s="6"/>
      <c r="D30" s="6"/>
    </row>
    <row r="31" spans="1:4">
      <c r="A31" s="5">
        <v>46201</v>
      </c>
      <c r="B31" s="9"/>
      <c r="C31" s="6"/>
      <c r="D31" s="6"/>
    </row>
    <row r="32" spans="1:4">
      <c r="A32" s="5">
        <v>46202</v>
      </c>
      <c r="B32" s="9"/>
      <c r="C32" s="6"/>
      <c r="D32" s="6"/>
    </row>
    <row r="33" spans="1:4">
      <c r="A33" s="5">
        <v>46203</v>
      </c>
      <c r="B33" s="9"/>
      <c r="C33" s="6"/>
      <c r="D33" s="6"/>
    </row>
    <row r="34" spans="1:4">
      <c r="A34" s="5">
        <v>46204</v>
      </c>
      <c r="B34" s="9"/>
      <c r="C34" s="6"/>
      <c r="D34" s="6"/>
    </row>
    <row r="35" spans="1:4">
      <c r="A35" s="5">
        <v>46205</v>
      </c>
      <c r="B35" s="9"/>
      <c r="C35" s="6"/>
      <c r="D35" s="6"/>
    </row>
    <row r="36" spans="1:4">
      <c r="A36" s="5">
        <v>46206</v>
      </c>
      <c r="B36" s="9"/>
      <c r="C36" s="6"/>
      <c r="D36" s="6"/>
    </row>
    <row r="37" spans="1:4">
      <c r="A37" s="5">
        <v>46207</v>
      </c>
      <c r="B37" s="9"/>
      <c r="C37" s="6"/>
      <c r="D37" s="6"/>
    </row>
    <row r="38" spans="1:4">
      <c r="A38" s="5">
        <v>46208</v>
      </c>
      <c r="B38" s="9"/>
      <c r="C38" s="6"/>
      <c r="D38" s="6"/>
    </row>
    <row r="39" spans="1:4">
      <c r="A39" s="5">
        <v>46209</v>
      </c>
      <c r="B39" s="9"/>
      <c r="C39" s="6"/>
      <c r="D39" s="6"/>
    </row>
    <row r="40" spans="1:4">
      <c r="A40" s="5">
        <v>46210</v>
      </c>
      <c r="B40" s="9"/>
      <c r="C40" s="6"/>
      <c r="D40" s="6"/>
    </row>
    <row r="41" spans="1:4">
      <c r="A41" s="5">
        <v>46211</v>
      </c>
      <c r="B41" s="9"/>
      <c r="C41" s="6"/>
      <c r="D41" s="6"/>
    </row>
    <row r="42" spans="1:4">
      <c r="A42" s="5">
        <v>46212</v>
      </c>
      <c r="B42" s="9"/>
      <c r="C42" s="6"/>
      <c r="D42" s="6"/>
    </row>
    <row r="43" spans="1:4">
      <c r="A43" s="5">
        <v>46213</v>
      </c>
      <c r="B43" s="9"/>
      <c r="C43" s="6"/>
      <c r="D43" s="6"/>
    </row>
    <row r="44" spans="1:4">
      <c r="A44" s="5">
        <v>46214</v>
      </c>
      <c r="B44" s="9"/>
      <c r="C44" s="6"/>
      <c r="D44" s="6"/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24.7109375" customWidth="1"/>
    <col min="3" max="4" width="18.7109375" customWidth="1"/>
    <col min="5" max="6" width="20.7109375" customWidth="1"/>
  </cols>
  <sheetData>
    <row r="1" spans="1:6">
      <c r="A1" s="1" t="s">
        <v>66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71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Quotidien</vt:lpstr>
      <vt:lpstr>Hebdomadaire</vt:lpstr>
      <vt:lpstr>Mensuel</vt:lpstr>
      <vt:lpstr>Guide Frequences</vt:lpstr>
      <vt:lpstr>Rapport Motos</vt:lpstr>
      <vt:lpstr>Beneficiaires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2026-07-10T23:29:36Z</dcterms:created>
  <dcterms:modified xsi:type="dcterms:W3CDTF">2026-07-10T23:29:36Z</dcterms:modified>
</cp:coreProperties>
</file>